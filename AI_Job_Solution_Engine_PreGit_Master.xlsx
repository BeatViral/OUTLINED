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f8b39e0c5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dba609cc4d14e5b"/>
    <x:sheet xmlns:r="http://schemas.openxmlformats.org/officeDocument/2006/relationships" name="Job Briefs" sheetId="2" r:id="R5060480c9f6543df"/>
    <x:sheet xmlns:r="http://schemas.openxmlformats.org/officeDocument/2006/relationships" name="Company Solutions" sheetId="3" r:id="R87424ac411654176"/>
    <x:sheet xmlns:r="http://schemas.openxmlformats.org/officeDocument/2006/relationships" name="Solution Modules" sheetId="4" r:id="R40eb6836b16e4e70"/>
    <x:sheet xmlns:r="http://schemas.openxmlformats.org/officeDocument/2006/relationships" name="Module Matrix" sheetId="5" r:id="R78a1a7b37e6c4bef"/>
    <x:sheet xmlns:r="http://schemas.openxmlformats.org/officeDocument/2006/relationships" name="Page Build Specs" sheetId="6" r:id="R601dae37f04d4ba1"/>
    <x:sheet xmlns:r="http://schemas.openxmlformats.org/officeDocument/2006/relationships" name="Application Queue" sheetId="7" r:id="R58a81917a80d495d"/>
    <x:sheet xmlns:r="http://schemas.openxmlformats.org/officeDocument/2006/relationships" name="Build Backlog" sheetId="8" r:id="Rd816c406443b4fa1"/>
    <x:sheet xmlns:r="http://schemas.openxmlformats.org/officeDocument/2006/relationships" name="Search Coverage" sheetId="9" r:id="R1f6862d212f8466a"/>
    <x:sheet xmlns:r="http://schemas.openxmlformats.org/officeDocument/2006/relationships" name="Source Register" sheetId="10" r:id="R4c6ab75ebcd8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0F27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32B"/>
      </x:patternFill>
    </x:fill>
    <x:fill>
      <x:patternFill patternType="solid">
        <x:fgColor rgb="FFF6F8FB"/>
      </x:patternFill>
    </x:fill>
    <x:fill>
      <x:patternFill patternType="solid">
        <x:fgColor rgb="FF0F2747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b500569574e7b" /><Relationship Type="http://schemas.openxmlformats.org/officeDocument/2006/relationships/theme" Target="/xl/theme/theme1.xml" Id="R4c10f7bbd49e4540" /><Relationship Type="http://schemas.openxmlformats.org/officeDocument/2006/relationships/sharedStrings" Target="/xl/sharedStrings.xml" Id="Rf5dd0534daee4d76" /><Relationship Type="http://schemas.openxmlformats.org/officeDocument/2006/relationships/worksheet" Target="/xl/worksheets/sheet1.xml" Id="R1dba609cc4d14e5b" /><Relationship Type="http://schemas.openxmlformats.org/officeDocument/2006/relationships/worksheet" Target="/xl/worksheets/sheet2.xml" Id="R5060480c9f6543df" /><Relationship Type="http://schemas.openxmlformats.org/officeDocument/2006/relationships/worksheet" Target="/xl/worksheets/sheet3.xml" Id="R87424ac411654176" /><Relationship Type="http://schemas.openxmlformats.org/officeDocument/2006/relationships/worksheet" Target="/xl/worksheets/sheet4.xml" Id="R40eb6836b16e4e70" /><Relationship Type="http://schemas.openxmlformats.org/officeDocument/2006/relationships/worksheet" Target="/xl/worksheets/sheet5.xml" Id="R78a1a7b37e6c4bef" /><Relationship Type="http://schemas.openxmlformats.org/officeDocument/2006/relationships/worksheet" Target="/xl/worksheets/sheet6.xml" Id="R601dae37f04d4ba1" /><Relationship Type="http://schemas.openxmlformats.org/officeDocument/2006/relationships/worksheet" Target="/xl/worksheets/sheet7.xml" Id="R58a81917a80d495d" /><Relationship Type="http://schemas.openxmlformats.org/officeDocument/2006/relationships/worksheet" Target="/xl/worksheets/sheet8.xml" Id="Rd816c406443b4fa1" /><Relationship Type="http://schemas.openxmlformats.org/officeDocument/2006/relationships/worksheet" Target="/xl/worksheets/sheet9.xml" Id="R1f6862d212f8466a" /><Relationship Type="http://schemas.openxmlformats.org/officeDocument/2006/relationships/worksheet" Target="/xl/worksheets/sheet10.xml" Id="R4c6ab75ebcd843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a2432865e44c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What the current job briefs are asking for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Jobs using module</c:v>
          </c:tx>
          <c:cat>
            <c:strRef>
              <c:f>'Dashboard'!$A$14:$A$33</c:f>
              <c:strCache>
                <c:ptCount val="0"/>
              </c:strCache>
            </c:strRef>
          </c:cat>
          <c:val>
            <c:numRef>
              <c:f>'Dashboard'!$B$14:$B$33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a2432865e44c9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obBriefsTable" displayName="JobBriefsTable" ref="A1:O43" headerRowCount="1" totalsRowCount="0" totalsRowShown="0">
  <x:tableColumns count="15">
    <x:tableColumn id="1" name="Company"/>
    <x:tableColumn id="2" name="Role"/>
    <x:tableColumn id="3" name="Sector"/>
    <x:tableColumn id="4" name="Location"/>
    <x:tableColumn id="5" name="Status"/>
    <x:tableColumn id="6" name="Verified On"/>
    <x:tableColumn id="7" name="Source Type"/>
    <x:tableColumn id="8" name="Public Source URL"/>
    <x:tableColumn id="9" name="What the ad is trying to achieve"/>
    <x:tableColumn id="10" name="Our custom solution"/>
    <x:tableColumn id="11" name="Custom angle"/>
    <x:tableColumn id="12" name="Page slug"/>
    <x:tableColumn id="13" name="Priority"/>
    <x:tableColumn id="14" name="Public page?"/>
    <x:tableColumn id="15" name="First real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nySolutionsTable" displayName="CompanySolutionsTable" ref="A1:I35" headerRowCount="1" totalsRowCount="0" totalsRowShown="0">
  <x:tableColumns count="9">
    <x:tableColumn id="1" name="Company"/>
    <x:tableColumn id="2" name="Role"/>
    <x:tableColumn id="3" name="Solution page title"/>
    <x:tableColumn id="4" name="Our Agent has outlined this"/>
    <x:tableColumn id="5" name="Core tools on page"/>
    <x:tableColumn id="6" name="First real interaction"/>
    <x:tableColumn id="7" name="Human judgement we keep visible"/>
    <x:tableColumn id="8" name="Why this page should impress"/>
    <x:tableColumn id="9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lutionModulesTable" displayName="SolutionModulesTable" ref="A1:E20" headerRowCount="1" totalsRowCount="0" totalsRowShown="0">
  <x:tableColumns count="5">
    <x:tableColumn id="1" name="Module ID"/>
    <x:tableColumn id="2" name="Module"/>
    <x:tableColumn id="3" name="What it really does"/>
    <x:tableColumn id="4" name="Can be interactive on V1?"/>
    <x:tableColumn id="5" name="V1 endpoint / 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uleMatrixTable" displayName="ModuleMatrixTable" ref="A1:U43" headerRowCount="1" totalsRowCount="0" totalsRowShown="0">
  <x:tableColumns count="21">
    <x:tableColumn id="1" name="Company"/>
    <x:tableColumn id="2" name="Role"/>
    <x:tableColumn id="3" name="DISCOVERY"/>
    <x:tableColumn id="4" name="PRIORITY"/>
    <x:tableColumn id="5" name="WORKFLOW"/>
    <x:tableColumn id="6" name="AGENT"/>
    <x:tableColumn id="7" name="COACH"/>
    <x:tableColumn id="8" name="HELP"/>
    <x:tableColumn id="9" name="TRAIN"/>
    <x:tableColumn id="10" name="GOV"/>
    <x:tableColumn id="11" name="LIBRARY"/>
    <x:tableColumn id="12" name="CHAMPIONS"/>
    <x:tableColumn id="13" name="ADOPTION"/>
    <x:tableColumn id="14" name="ROI"/>
    <x:tableColumn id="15" name="RADAR"/>
    <x:tableColumn id="16" name="LICENSE"/>
    <x:tableColumn id="17" name="WORKFORCE"/>
    <x:tableColumn id="18" name="CHANGE"/>
    <x:tableColumn id="19" name="IMPLEMENT"/>
    <x:tableColumn id="20" name="EXEC"/>
    <x:tableColumn id="21" name="VEND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geBuildSpecsTable" displayName="PageBuildSpecsTable" ref="A1:L35" headerRowCount="1" totalsRowCount="0" totalsRowShown="0">
  <x:tableColumns count="12">
    <x:tableColumn id="1" name="Priority"/>
    <x:tableColumn id="2" name="Company"/>
    <x:tableColumn id="3" name="Role"/>
    <x:tableColumn id="4" name="Route"/>
    <x:tableColumn id="5" name="Hero"/>
    <x:tableColumn id="6" name="Brief block"/>
    <x:tableColumn id="7" name="Agent block"/>
    <x:tableColumn id="8" name="Real interaction"/>
    <x:tableColumn id="9" name="Source block"/>
    <x:tableColumn id="10" name="Build status"/>
    <x:tableColumn id="11" name="QA status"/>
    <x:tableColumn id="12" name="Application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pplicationQueueTable" displayName="ApplicationQueueTable" ref="A1:M35" headerRowCount="1" totalsRowCount="0" totalsRowShown="0">
  <x:tableColumns count="13">
    <x:tableColumn id="1" name="Priority"/>
    <x:tableColumn id="2" name="Company"/>
    <x:tableColumn id="3" name="Role"/>
    <x:tableColumn id="4" name="Page route"/>
    <x:tableColumn id="5" name="Job status"/>
    <x:tableColumn id="6" name="Page built?"/>
    <x:tableColumn id="7" name="Real tools tested?"/>
    <x:tableColumn id="8" name="CV tailored?"/>
    <x:tableColumn id="9" name="Application sent?"/>
    <x:tableColumn id="10" name="Applied date"/>
    <x:tableColumn id="11" name="Follow-up date"/>
    <x:tableColumn id="12" name="Outcome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uildBacklogTable" displayName="BuildBacklogTable" ref="A1:E18" headerRowCount="1" totalsRowCount="0" totalsRowShown="0">
  <x:tableColumns count="5">
    <x:tableColumn id="1" name="Priority"/>
    <x:tableColumn id="2" name="Area"/>
    <x:tableColumn id="3" name="Build item"/>
    <x:tableColumn id="4" name="Definition of done"/>
    <x:tableColumn id="5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RegisterTable" displayName="SourceRegisterTable" ref="A1:F43" headerRowCount="1" totalsRowCount="0" totalsRowShown="0">
  <x:tableColumns count="6">
    <x:tableColumn id="1" name="Company"/>
    <x:tableColumn id="2" name="Role"/>
    <x:tableColumn id="3" name="Verified on"/>
    <x:tableColumn id="4" name="Source type"/>
    <x:tableColumn id="5" name="URL"/>
    <x:tableColumn id="6" name="Publishing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b82a46051645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753051fabd42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e2918d06d648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8362690b1340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68d9d4e5e54f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98d85a2ce74f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78a13db94c45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deba1476c34f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51913a1e286a4c1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4" max="4" width="5" hidden="0" customWidth="1"/>
    <x:col min="5" max="5" width="26" hidden="0" customWidth="1"/>
    <x:col min="6" max="6" width="46" hidden="0" customWidth="1"/>
  </x:cols>
  <x:sheetData>
    <x:row r="1">
      <x:c r="A1" s="4" t="str">
        <x:v>AI Job Solution Engine — Pre-Git Master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10" t="str">
        <x:v>Research verified 2026-08-25. High-fit current/recent Australian roles; not every AI vacancy in the market.</x:v>
      </x:c>
      <x:c r="B3" s="10"/>
      <x:c r="C3" s="10"/>
      <x:c r="D3" s="10"/>
      <x:c r="E3" s="10"/>
      <x:c r="F3" s="10"/>
      <x:c r="G3" s="10"/>
      <x:c r="H3" s="10"/>
    </x:row>
    <x:row r="5">
      <x:c r="A5" s="17" t="str">
        <x:v>KPI</x:v>
      </x:c>
      <x:c r="B5" s="17" t="str">
        <x:v>Value</x:v>
      </x:c>
      <x:c r="D5" s="17" t="str">
        <x:v>Non-negotiables</x:v>
      </x:c>
      <x:c r="E5" s="17" t="str"/>
      <x:c r="F5" s="17" t="str"/>
      <x:c r="G5" s="17" t="str"/>
      <x:c r="H5" s="17" t="str"/>
    </x:row>
    <x:row r="6">
      <x:c r="A6" t="str">
        <x:v>Job briefs captured</x:v>
      </x:c>
      <x:c r="B6" t="n">
        <x:f>COUNTA('Job Briefs'!A2:A200)</x:f>
        <x:v>42</x:v>
      </x:c>
      <x:c r="D6" s="24" t="str">
        <x:v>1</x:v>
      </x:c>
      <x:c r="E6" s="28" t="str">
        <x:v>No fake dashboards</x:v>
      </x:c>
      <x:c r="F6" s="28" t="str">
        <x:v>Every interactive tool must do real AI work.</x:v>
      </x:c>
      <x:c r="G6" s="28" t="str"/>
      <x:c r="H6" s="28" t="str"/>
    </x:row>
    <x:row r="7">
      <x:c r="A7" t="str">
        <x:v>Named public-page companies/roles</x:v>
      </x:c>
      <x:c r="B7" t="n">
        <x:f>COUNTIF('Job Briefs'!N2:N200,"Yes")</x:f>
        <x:v>34</x:v>
      </x:c>
      <x:c r="D7" s="24" t="str">
        <x:v>2</x:v>
      </x:c>
      <x:c r="E7" s="28" t="str">
        <x:v>No fake company accounts</x:v>
      </x:c>
      <x:c r="F7" s="28" t="str">
        <x:v>Companies arrive from the job ad and see the solution page.</x:v>
      </x:c>
      <x:c r="G7" s="28" t="str"/>
      <x:c r="H7" s="28" t="str"/>
    </x:row>
    <x:row r="8">
      <x:c r="A8" t="str">
        <x:v>Priority A targets</x:v>
      </x:c>
      <x:c r="B8" t="n">
        <x:f>COUNTIF('Job Briefs'!M2:M200,"A")</x:f>
        <x:v>21</x:v>
      </x:c>
      <x:c r="D8" s="24" t="str">
        <x:v>3</x:v>
      </x:c>
      <x:c r="E8" s="28" t="str">
        <x:v>No invented company data</x:v>
      </x:c>
      <x:c r="F8" s="28" t="str">
        <x:v>Only use the public job brief and clearly label our solution as our design.</x:v>
      </x:c>
      <x:c r="G8" s="28" t="str"/>
      <x:c r="H8" s="28" t="str"/>
    </x:row>
    <x:row r="9">
      <x:c r="A9" t="str">
        <x:v>Reusable solution modules</x:v>
      </x:c>
      <x:c r="B9" t="n">
        <x:f>COUNTA('Solution Modules'!A2:A100)</x:f>
        <x:v>19</x:v>
      </x:c>
      <x:c r="D9" s="24" t="str">
        <x:v>4</x:v>
      </x:c>
      <x:c r="E9" s="28" t="str">
        <x:v>No fake integrations</x:v>
      </x:c>
      <x:c r="F9" s="28" t="str">
        <x:v>If a system is not connected, say so.</x:v>
      </x:c>
      <x:c r="G9" s="28" t="str"/>
      <x:c r="H9" s="28" t="str"/>
    </x:row>
    <x:row r="10">
      <x:c r="A10" t="str">
        <x:v>Pages ready for content build</x:v>
      </x:c>
      <x:c r="B10" t="n">
        <x:f>COUNTIF('Page Build Specs'!J2:J200,"READY")</x:f>
        <x:v>34</x:v>
      </x:c>
      <x:c r="D10" s="24" t="str">
        <x:v>5</x:v>
      </x:c>
      <x:c r="E10" s="28" t="str">
        <x:v>Real page action</x:v>
      </x:c>
      <x:c r="F10" s="28" t="str">
        <x:v>Every priority page must let the visitor submit real work and receive a real analysis.</x:v>
      </x:c>
      <x:c r="G10" s="28" t="str"/>
      <x:c r="H10" s="28" t="str"/>
    </x:row>
    <x:row r="13">
      <x:c r="A13" s="17" t="str">
        <x:v>Solution module</x:v>
      </x:c>
      <x:c r="B13" s="17" t="str">
        <x:v>Jobs using module</x:v>
      </x:c>
    </x:row>
    <x:row r="14">
      <x:c r="A14" t="str">
        <x:v>Work Discovery Agent</x:v>
      </x:c>
      <x:c r="B14" t="n">
        <x:f>SUM('Module Matrix'!C2:C200)</x:f>
        <x:v>29</x:v>
      </x:c>
    </x:row>
    <x:row r="15">
      <x:c r="A15" t="str">
        <x:v>AI Opportunity Prioritiser</x:v>
      </x:c>
      <x:c r="B15" t="n">
        <x:f>SUM('Module Matrix'!D2:D200)</x:f>
        <x:v>18</x:v>
      </x:c>
    </x:row>
    <x:row r="16">
      <x:c r="A16" t="str">
        <x:v>Workflow Architect</x:v>
      </x:c>
      <x:c r="B16" t="n">
        <x:f>SUM('Module Matrix'!E2:E200)</x:f>
        <x:v>21</x:v>
      </x:c>
    </x:row>
    <x:row r="17">
      <x:c r="A17" t="str">
        <x:v>Agent Builder</x:v>
      </x:c>
      <x:c r="B17" t="n">
        <x:f>SUM('Module Matrix'!F2:F200)</x:f>
        <x:v>13</x:v>
      </x:c>
    </x:row>
    <x:row r="18">
      <x:c r="A18" t="str">
        <x:v>Role AI Coach</x:v>
      </x:c>
      <x:c r="B18" t="n">
        <x:f>SUM('Module Matrix'!G2:G200)</x:f>
        <x:v>21</x:v>
      </x:c>
    </x:row>
    <x:row r="19">
      <x:c r="A19" t="str">
        <x:v>AI Help Desk</x:v>
      </x:c>
      <x:c r="B19" t="n">
        <x:f>SUM('Module Matrix'!H2:H200)</x:f>
        <x:v>12</x:v>
      </x:c>
    </x:row>
    <x:row r="20">
      <x:c r="A20" t="str">
        <x:v>Learning &amp; Practice Studio</x:v>
      </x:c>
      <x:c r="B20" t="n">
        <x:f>SUM('Module Matrix'!I2:I200)</x:f>
        <x:v>20</x:v>
      </x:c>
    </x:row>
    <x:row r="21">
      <x:c r="A21" t="str">
        <x:v>Governance &amp; Safe-Use Agent</x:v>
      </x:c>
      <x:c r="B21" t="n">
        <x:f>SUM('Module Matrix'!J2:J200)</x:f>
        <x:v>30</x:v>
      </x:c>
    </x:row>
    <x:row r="22">
      <x:c r="A22" t="str">
        <x:v>Approved Use-Case Library</x:v>
      </x:c>
      <x:c r="B22" t="n">
        <x:f>SUM('Module Matrix'!K2:K200)</x:f>
        <x:v>19</x:v>
      </x:c>
    </x:row>
    <x:row r="23">
      <x:c r="A23" t="str">
        <x:v>AI Champions Hub</x:v>
      </x:c>
      <x:c r="B23" t="n">
        <x:f>SUM('Module Matrix'!L2:L200)</x:f>
        <x:v>10</x:v>
      </x:c>
    </x:row>
    <x:row r="24">
      <x:c r="A24" t="str">
        <x:v>Adoption Intelligence</x:v>
      </x:c>
      <x:c r="B24" t="n">
        <x:f>SUM('Module Matrix'!M2:M200)</x:f>
        <x:v>34</x:v>
      </x:c>
    </x:row>
    <x:row r="25">
      <x:c r="A25" t="str">
        <x:v>Value &amp; ROI Engine</x:v>
      </x:c>
      <x:c r="B25" t="n">
        <x:f>SUM('Module Matrix'!N2:N200)</x:f>
        <x:v>33</x:v>
      </x:c>
    </x:row>
    <x:row r="26">
      <x:c r="A26" t="str">
        <x:v>AI Tool &amp; Capability Radar</x:v>
      </x:c>
      <x:c r="B26" t="n">
        <x:f>SUM('Module Matrix'!O2:O200)</x:f>
        <x:v>12</x:v>
      </x:c>
    </x:row>
    <x:row r="27">
      <x:c r="A27" t="str">
        <x:v>AI Tool &amp; Licence Optimiser</x:v>
      </x:c>
      <x:c r="B27" t="n">
        <x:f>SUM('Module Matrix'!P2:P200)</x:f>
        <x:v>1</x:v>
      </x:c>
    </x:row>
    <x:row r="28">
      <x:c r="A28" t="str">
        <x:v>AI Workforce Registry</x:v>
      </x:c>
      <x:c r="B28" t="n">
        <x:f>SUM('Module Matrix'!Q2:Q200)</x:f>
        <x:v>12</x:v>
      </x:c>
    </x:row>
    <x:row r="29">
      <x:c r="A29" t="str">
        <x:v>Change &amp; Communications Agent</x:v>
      </x:c>
      <x:c r="B29" t="n">
        <x:f>SUM('Module Matrix'!R2:R200)</x:f>
        <x:v>16</x:v>
      </x:c>
    </x:row>
    <x:row r="30">
      <x:c r="A30" t="str">
        <x:v>Implementation Control Room</x:v>
      </x:c>
      <x:c r="B30" t="n">
        <x:f>SUM('Module Matrix'!S2:S200)</x:f>
        <x:v>23</x:v>
      </x:c>
    </x:row>
    <x:row r="31">
      <x:c r="A31" t="str">
        <x:v>Executive AI Briefing Agent</x:v>
      </x:c>
      <x:c r="B31" t="n">
        <x:f>SUM('Module Matrix'!T2:T200)</x:f>
        <x:v>15</x:v>
      </x:c>
    </x:row>
    <x:row r="32">
      <x:c r="A32" t="str">
        <x:v>Vendor &amp; Tool Evaluation Agent</x:v>
      </x:c>
      <x:c r="B32" t="n">
        <x:f>SUM('Module Matrix'!U2:U200)</x:f>
        <x:v>2</x:v>
      </x:c>
    </x:row>
  </x:sheetData>
  <x:mergeCells>
    <x:mergeCell ref="A1:H2"/>
    <x:mergeCell ref="A3:H3"/>
    <x:mergeCell ref="D5:H5"/>
  </x:mergeCells>
  <x:pageMargins left="0.7" right="0.7" top="0.75" bottom="0.75" header="0.3" footer="0.3"/>
  <x:drawing xmlns:r="http://schemas.openxmlformats.org/officeDocument/2006/relationships" r:id="R59b82a46051645c9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8" hidden="0" customWidth="1"/>
    <x:col min="3" max="3" width="28" hidden="0" customWidth="1"/>
    <x:col min="4" max="4" width="27" hidden="0" customWidth="1"/>
    <x:col min="5" max="5" width="20" hidden="0" customWidth="1"/>
    <x:col min="6" max="6" width="13" hidden="0" customWidth="1"/>
    <x:col min="7" max="7" width="18" hidden="0" customWidth="1"/>
    <x:col min="8" max="8" width="50" hidden="0" customWidth="1"/>
    <x:col min="9" max="9" width="58" hidden="0" customWidth="1"/>
    <x:col min="10" max="10" width="38" hidden="0" customWidth="1"/>
    <x:col min="11" max="11" width="62" hidden="0" customWidth="1"/>
    <x:col min="12" max="12" width="42" hidden="0" customWidth="1"/>
    <x:col min="13" max="13" width="10" hidden="0" customWidth="1"/>
    <x:col min="14" max="14" width="12" hidden="0" customWidth="1"/>
    <x:col min="15" max="15" width="58" hidden="0" customWidth="1"/>
  </x:cols>
  <x:sheetData>
    <x:row r="1">
      <x:c r="A1" s="17" t="str">
        <x:v>Company</x:v>
      </x:c>
      <x:c r="B1" s="17" t="str">
        <x:v>Role</x:v>
      </x:c>
      <x:c r="C1" s="17" t="str">
        <x:v>Sector</x:v>
      </x:c>
      <x:c r="D1" s="17" t="str">
        <x:v>Location</x:v>
      </x:c>
      <x:c r="E1" s="17" t="str">
        <x:v>Status</x:v>
      </x:c>
      <x:c r="F1" s="17" t="str">
        <x:v>Verified On</x:v>
      </x:c>
      <x:c r="G1" s="17" t="str">
        <x:v>Source Type</x:v>
      </x:c>
      <x:c r="H1" s="17" t="str">
        <x:v>Public Source URL</x:v>
      </x:c>
      <x:c r="I1" s="17" t="str">
        <x:v>What the ad is trying to achieve</x:v>
      </x:c>
      <x:c r="J1" s="17" t="str">
        <x:v>Our custom solution</x:v>
      </x:c>
      <x:c r="K1" s="17" t="str">
        <x:v>Custom angle</x:v>
      </x:c>
      <x:c r="L1" s="17" t="str">
        <x:v>Page slug</x:v>
      </x:c>
      <x:c r="M1" s="17" t="str">
        <x:v>Priority</x:v>
      </x:c>
      <x:c r="N1" s="17" t="str">
        <x:v>Public page?</x:v>
      </x:c>
      <x:c r="O1" s="17" t="str">
        <x:v>First real action</x:v>
      </x:c>
    </x:row>
    <x:row r="2">
      <x:c r="A2" s="28" t="str">
        <x:v>ABC</x:v>
      </x:c>
      <x:c r="B2" s="28" t="str">
        <x:v>AI Adoption Specialist</x:v>
      </x:c>
      <x:c r="C2" s="28" t="str">
        <x:v>Media / Public Broadcaster</x:v>
      </x:c>
      <x:c r="D2" s="28" t="str">
        <x:v>Australia / hybrid</x:v>
      </x:c>
      <x:c r="E2" s="28" t="str">
        <x:v>Live</x:v>
      </x:c>
      <x:c r="F2" s="28" t="str">
        <x:v>2026-08-25</x:v>
      </x:c>
      <x:c r="G2" s="28" t="str">
        <x:v>Direct employer</x:v>
      </x:c>
      <x:c r="H2" s="28" t="str">
        <x:v>https://careers.abc.net.au/jobs/ai-adoption-specialist-brisbane-qld-australia-melbourne-vic-longreach-sydney-nsw-adelaide-sa-port-pirie-port-lincoln-renmark-mount-gambier-victor-harbor-whyalla-canberra-act-broken-hill-bega-</x:v>
      </x:c>
      <x:c r="I2" s="28" t="str">
        <x:v>Help staff safely apply enterprise AI to real editorial and business workflows through coaching, training, practical support and repeatable practices.</x:v>
      </x:c>
      <x:c r="J2" s="28" t="str">
        <x:v>ABC AI Adoption System</x:v>
      </x:c>
      <x:c r="K2" s="28" t="str">
        <x:v>A workforce-facing system that helps editorial and business teams turn real work into safe AI-assisted practices while keeping policy and human judgement visible.</x:v>
      </x:c>
      <x:c r="L2" s="28" t="str">
        <x:v>abc-ai-adoption-specialist</x:v>
      </x:c>
      <x:c r="M2" s="28" t="str">
        <x:v>A</x:v>
      </x:c>
      <x:c r="N2" s="28" t="str">
        <x:v>Yes</x:v>
      </x:c>
      <x:c r="O2" s="28" t="str">
        <x:v>Analyse a real editorial/business task and return a safe repeatable AI-assisted workflow.</x:v>
      </x:c>
    </x:row>
    <x:row r="3">
      <x:c r="A3" s="28" t="str">
        <x:v>The Arnott's Group</x:v>
      </x:c>
      <x:c r="B3" s="28" t="str">
        <x:v>AI Enablement and Adoption Lead</x:v>
      </x:c>
      <x:c r="C3" s="28" t="str">
        <x:v>FMCG / Consumer</x:v>
      </x:c>
      <x:c r="D3" s="28" t="str">
        <x:v>North Strathfield NSW / hybrid</x:v>
      </x:c>
      <x:c r="E3" s="28" t="str">
        <x:v>Live</x:v>
      </x:c>
      <x:c r="F3" s="28" t="str">
        <x:v>2026-08-25</x:v>
      </x:c>
      <x:c r="G3" s="28" t="str">
        <x:v>Direct employer</x:v>
      </x:c>
      <x:c r="H3" s="28" t="str">
        <x:v>https://careers.arnotts.com/job/North-Strathfield-AI-Enablement-and-Adoption-Lead-NSW-2137/1365156066/</x:v>
      </x:c>
      <x:c r="I3" s="28" t="str">
        <x:v>Translate business problems into practical AI and automation, reduce admin, prioritise opportunities, build capability and communities, support governance and measure value.</x:v>
      </x:c>
      <x:c r="J3" s="28" t="str">
        <x:v>Arnott's AI Work Simplification System</x:v>
      </x:c>
      <x:c r="K3" s="28" t="str">
        <x:v>A practical business-improvement engine for operations, finance, people and commercial teams: find friction, prioritise it, build a safer AI workflow and measure the reduction in manual work.</x:v>
      </x:c>
      <x:c r="L3" s="28" t="str">
        <x:v>the-arnott-s-group-ai-enablement-and-adoption-lead</x:v>
      </x:c>
      <x:c r="M3" s="28" t="str">
        <x:v>A</x:v>
      </x:c>
      <x:c r="N3" s="28" t="str">
        <x:v>Yes</x:v>
      </x:c>
      <x:c r="O3" s="28" t="str">
        <x:v>Take a real business task and return the AI opportunity, workflow, controls, implementation steps and value measures.</x:v>
      </x:c>
    </x:row>
    <x:row r="4">
      <x:c r="A4" s="28" t="str">
        <x:v>Findex</x:v>
      </x:c>
      <x:c r="B4" s="28" t="str">
        <x:v>AI &amp; Digital Tools Adoption Lead</x:v>
      </x:c>
      <x:c r="C4" s="28" t="str">
        <x:v>Accounting / Advisory / Wealth</x:v>
      </x:c>
      <x:c r="D4" s="28" t="str">
        <x:v>Sydney / Melbourne</x:v>
      </x:c>
      <x:c r="E4" s="28" t="str">
        <x:v>Live</x:v>
      </x:c>
      <x:c r="F4" s="28" t="str">
        <x:v>2026-08-25</x:v>
      </x:c>
      <x:c r="G4" s="28" t="str">
        <x:v>Public job listing</x:v>
      </x:c>
      <x:c r="H4" s="28" t="str">
        <x:v>https://builtin.com/job/ai-digital-tools-adoption-lead/10362562</x:v>
      </x:c>
      <x:c r="I4" s="28" t="str">
        <x:v>Own AI adoption across client-facing teams, act as tool SME, build use cases and agents/workflows, run user community, align with governance and report impact to executives.</x:v>
      </x:c>
      <x:c r="J4" s="28" t="str">
        <x:v>Findex Client-Team AI Adoption System</x:v>
      </x:c>
      <x:c r="K4" s="28" t="str">
        <x:v>A professional-services system organised around Audit, Tax, Advisory and Wealth work: discover execution-heavy tasks, create approved reusable workflows and show where client-facing value is moving.</x:v>
      </x:c>
      <x:c r="L4" s="28" t="str">
        <x:v>findex-ai-digital-tools-adoption-lead</x:v>
      </x:c>
      <x:c r="M4" s="28" t="str">
        <x:v>A</x:v>
      </x:c>
      <x:c r="N4" s="28" t="str">
        <x:v>Yes</x:v>
      </x:c>
      <x:c r="O4" s="28" t="str">
        <x:v>Take a real business task and return the AI opportunity, workflow, controls, implementation steps and value measures.</x:v>
      </x:c>
    </x:row>
    <x:row r="5">
      <x:c r="A5" s="28" t="str">
        <x:v>SSI</x:v>
      </x:c>
      <x:c r="B5" s="28" t="str">
        <x:v>AI Enablement and Adoption Lead</x:v>
      </x:c>
      <x:c r="C5" s="28" t="str">
        <x:v>Not-for-profit / Social Services</x:v>
      </x:c>
      <x:c r="D5" s="28" t="str">
        <x:v>Parramatta NSW / hybrid</x:v>
      </x:c>
      <x:c r="E5" s="28" t="str">
        <x:v>Live</x:v>
      </x:c>
      <x:c r="F5" s="28" t="str">
        <x:v>2026-08-25</x:v>
      </x:c>
      <x:c r="G5" s="28" t="str">
        <x:v>SEEK</x:v>
      </x:c>
      <x:c r="H5" s="28" t="str">
        <x:v>https://au.seek.com/enablement-jobs/in-All-Sydney-NSW</x:v>
      </x:c>
      <x:c r="I5" s="28" t="str">
        <x:v>Build responsible AI confidence, learning pathways, resources and capability frameworks across staff and leaders.</x:v>
      </x:c>
      <x:c r="J5" s="28" t="str">
        <x:v>SSI Responsible AI Capability System</x:v>
      </x:c>
      <x:c r="K5" s="28" t="str">
        <x:v>A people-first adoption system that makes safe AI guidance usable for frontline and corporate roles, especially where sensitive client information and responsible use matter.</x:v>
      </x:c>
      <x:c r="L5" s="28" t="str">
        <x:v>ssi-ai-enablement-and-adoption-lead</x:v>
      </x:c>
      <x:c r="M5" s="28" t="str">
        <x:v>A</x:v>
      </x:c>
      <x:c r="N5" s="28" t="str">
        <x:v>Yes</x:v>
      </x:c>
      <x:c r="O5" s="28" t="str">
        <x:v>Take a real business task and return the AI opportunity, workflow, controls, implementation steps and value measures.</x:v>
      </x:c>
    </x:row>
    <x:row r="6">
      <x:c r="A6" s="28" t="str">
        <x:v>Georgiou Group</x:v>
      </x:c>
      <x:c r="B6" s="28" t="str">
        <x:v>AI Enablement Lead</x:v>
      </x:c>
      <x:c r="C6" s="28" t="str">
        <x:v>Construction / Infrastructure</x:v>
      </x:c>
      <x:c r="D6" s="28" t="str">
        <x:v>North Sydney NSW</x:v>
      </x:c>
      <x:c r="E6" s="28" t="str">
        <x:v>Live</x:v>
      </x:c>
      <x:c r="F6" s="28" t="str">
        <x:v>2026-08-25</x:v>
      </x:c>
      <x:c r="G6" s="28" t="str">
        <x:v>SEEK</x:v>
      </x:c>
      <x:c r="H6" s="28" t="str">
        <x:v>https://au.seek.com/enablement-jobs/in-All-Sydney-NSW</x:v>
      </x:c>
      <x:c r="I6" s="28" t="str">
        <x:v>Drive safe practical AI adoption, innovation and business transformation across a national infrastructure business.</x:v>
      </x:c>
      <x:c r="J6" s="28" t="str">
        <x:v>Georgiou AI Delivery &amp; Enablement System</x:v>
      </x:c>
      <x:c r="K6" s="28" t="str">
        <x:v>A project-focused system that turns construction and corporate process opportunities into governed AI workflows with owners, approvals, rollout tracking and measurable impact.</x:v>
      </x:c>
      <x:c r="L6" s="28" t="str">
        <x:v>georgiou-group-ai-enablement-lead</x:v>
      </x:c>
      <x:c r="M6" s="28" t="str">
        <x:v>A</x:v>
      </x:c>
      <x:c r="N6" s="28" t="str">
        <x:v>Yes</x:v>
      </x:c>
      <x:c r="O6" s="28" t="str">
        <x:v>Take a real business task and return the AI opportunity, workflow, controls, implementation steps and value measures.</x:v>
      </x:c>
    </x:row>
    <x:row r="7">
      <x:c r="A7" s="28" t="str">
        <x:v>Novigi</x:v>
      </x:c>
      <x:c r="B7" s="28" t="str">
        <x:v>AI Adoption Coach</x:v>
      </x:c>
      <x:c r="C7" s="28" t="str">
        <x:v>Financial Services Technology</x:v>
      </x:c>
      <x:c r="D7" s="28" t="str">
        <x:v>Multi-city Australia / hybrid</x:v>
      </x:c>
      <x:c r="E7" s="28" t="str">
        <x:v>Live</x:v>
      </x:c>
      <x:c r="F7" s="28" t="str">
        <x:v>2026-08-25</x:v>
      </x:c>
      <x:c r="G7" s="28" t="str">
        <x:v>SEEK</x:v>
      </x:c>
      <x:c r="H7" s="28" t="str">
        <x:v>https://au.seek.com/ai-trainer-jobs/in-All-Australia</x:v>
      </x:c>
      <x:c r="I7" s="28" t="str">
        <x:v>Move beyond licence rollout and generic training by coaching people on real work until AI changes the way the work is actually done.</x:v>
      </x:c>
      <x:c r="J7" s="28" t="str">
        <x:v>Novigi Embedded AI Coaching System</x:v>
      </x:c>
      <x:c r="K7" s="28" t="str">
        <x:v>A coach that starts with the employee's actual task, redesigns the workflow with them, records the winning pattern and follows whether the behaviour stuck.</x:v>
      </x:c>
      <x:c r="L7" s="28" t="str">
        <x:v>novigi-ai-adoption-coach</x:v>
      </x:c>
      <x:c r="M7" s="28" t="str">
        <x:v>A</x:v>
      </x:c>
      <x:c r="N7" s="28" t="str">
        <x:v>Yes</x:v>
      </x:c>
      <x:c r="O7" s="28" t="str">
        <x:v>Take a real business task and return the AI opportunity, workflow, controls, implementation steps and value measures.</x:v>
      </x:c>
    </x:row>
    <x:row r="8">
      <x:c r="A8" s="28" t="str">
        <x:v>Novigi</x:v>
      </x:c>
      <x:c r="B8" s="28" t="str">
        <x:v>AI Adoption Programme Co-ordinator</x:v>
      </x:c>
      <x:c r="C8" s="28" t="str">
        <x:v>Financial Services Technology</x:v>
      </x:c>
      <x:c r="D8" s="28" t="str">
        <x:v>Multi-city Australia / hybrid</x:v>
      </x:c>
      <x:c r="E8" s="28" t="str">
        <x:v>Live</x:v>
      </x:c>
      <x:c r="F8" s="28" t="str">
        <x:v>2026-08-25</x:v>
      </x:c>
      <x:c r="G8" s="28" t="str">
        <x:v>SEEK</x:v>
      </x:c>
      <x:c r="H8" s="28" t="str">
        <x:v>https://au.seek.com/AI-Adoption-jobs/in-All-Sydney-NSW</x:v>
      </x:c>
      <x:c r="I8" s="28" t="str">
        <x:v>Turn AI adoption strategy into real team activity through programme rhythm, coordination and an AI Champions network.</x:v>
      </x:c>
      <x:c r="J8" s="28" t="str">
        <x:v>Novigi AI Adoption Programme Control Room</x:v>
      </x:c>
      <x:c r="K8" s="28" t="str">
        <x:v>A live operating board for adoption: teams, champions, use cases, blockers, sessions, actions, workflow rollouts and value checkpoints.</x:v>
      </x:c>
      <x:c r="L8" s="28" t="str">
        <x:v>novigi-ai-adoption-programme-co-ordinator</x:v>
      </x:c>
      <x:c r="M8" s="28" t="str">
        <x:v>A</x:v>
      </x:c>
      <x:c r="N8" s="28" t="str">
        <x:v>Yes</x:v>
      </x:c>
      <x:c r="O8" s="28" t="str">
        <x:v>Take a real business task and return the AI opportunity, workflow, controls, implementation steps and value measures.</x:v>
      </x:c>
    </x:row>
    <x:row r="9">
      <x:c r="A9" s="28" t="str">
        <x:v>Commonwealth Bank</x:v>
      </x:c>
      <x:c r="B9" s="28" t="str">
        <x:v>Chapter Lead - AI Enablement &amp; Execution</x:v>
      </x:c>
      <x:c r="C9" s="28" t="str">
        <x:v>Banking</x:v>
      </x:c>
      <x:c r="D9" s="28" t="str">
        <x:v>Sydney CBD</x:v>
      </x:c>
      <x:c r="E9" s="28" t="str">
        <x:v>Recent / verify before applying</x:v>
      </x:c>
      <x:c r="F9" s="28" t="str">
        <x:v>2026-08-25</x:v>
      </x:c>
      <x:c r="G9" s="28" t="str">
        <x:v>Direct employer</x:v>
      </x:c>
      <x:c r="H9" s="28" t="str">
        <x:v>https://cba.wd3.myworkdayjobs.com/en-US/CommBank_Careers/job/Chapter-Lead---AI-Enablement---Execution_REQ261712</x:v>
      </x:c>
      <x:c r="I9" s="28" t="str">
        <x:v>Identify high-value AI use cases across change and delivery, assess maturity and barriers, define role skills, coach and train teams, embed responsible AI into everyday delivery and measure outcomes.</x:v>
      </x:c>
      <x:c r="J9" s="28" t="str">
        <x:v>CommBank Change &amp; Delivery AI Enablement System</x:v>
      </x:c>
      <x:c r="K9" s="28" t="str">
        <x:v>A system specifically for Change &amp; Delivery that turns planning, reporting, communications, insights and stakeholder work into governed AI-enabled practices and capability paths.</x:v>
      </x:c>
      <x:c r="L9" s="28" t="str">
        <x:v>commonwealth-bank-chapter-lead-ai-enablement-execution</x:v>
      </x:c>
      <x:c r="M9" s="28" t="str">
        <x:v>A</x:v>
      </x:c>
      <x:c r="N9" s="28" t="str">
        <x:v>Yes</x:v>
      </x:c>
      <x:c r="O9" s="28" t="str">
        <x:v>Take a business/change workflow and return opportunity, controls, workflow design and measurable outcomes.</x:v>
      </x:c>
    </x:row>
    <x:row r="10">
      <x:c r="A10" s="28" t="str">
        <x:v>Insignia Financial</x:v>
      </x:c>
      <x:c r="B10" s="28" t="str">
        <x:v>Head of AI Adoption &amp; Transformation</x:v>
      </x:c>
      <x:c r="C10" s="28" t="str">
        <x:v>Financial Services / Superannuation</x:v>
      </x:c>
      <x:c r="D10" s="28" t="str">
        <x:v>Australia multi-city</x:v>
      </x:c>
      <x:c r="E10" s="28" t="str">
        <x:v>Live / recent</x:v>
      </x:c>
      <x:c r="F10" s="28" t="str">
        <x:v>2026-08-25</x:v>
      </x:c>
      <x:c r="G10" s="28" t="str">
        <x:v>Direct employer</x:v>
      </x:c>
      <x:c r="H10" s="28" t="str">
        <x:v>https://careers.insigniafinancial.com.au/job/SYDNEY-Head-of-AI-Adoption-%26-Transformation-NSW-2000/1365289566/</x:v>
      </x:c>
      <x:c r="I10" s="28" t="str">
        <x:v>Define enterprise AI transformation, redesign how humans and AI work together, build literacy and learning, evolve roles and workforce readiness, and track adoption and behavioural change.</x:v>
      </x:c>
      <x:c r="J10" s="28" t="str">
        <x:v>Insignia Human + AI Workforce Operating System</x:v>
      </x:c>
      <x:c r="K10" s="28" t="str">
        <x:v>A future-work system: map human roles, identify AI-capable work, design new operating models and maintain a registry of digital workers with human supervisors and measurable outcomes.</x:v>
      </x:c>
      <x:c r="L10" s="28" t="str">
        <x:v>insignia-financial-head-of-ai-adoption-transformation</x:v>
      </x:c>
      <x:c r="M10" s="28" t="str">
        <x:v>A</x:v>
      </x:c>
      <x:c r="N10" s="28" t="str">
        <x:v>Yes</x:v>
      </x:c>
      <x:c r="O10" s="28" t="str">
        <x:v>Take a real business task and return the AI opportunity, workflow, controls, implementation steps and value measures.</x:v>
      </x:c>
    </x:row>
    <x:row r="11">
      <x:c r="A11" s="28" t="str">
        <x:v>Bellroy</x:v>
      </x:c>
      <x:c r="B11" s="28" t="str">
        <x:v>AI Enablement Lead</x:v>
      </x:c>
      <x:c r="C11" s="28" t="str">
        <x:v>Retail / Product / Creative</x:v>
      </x:c>
      <x:c r="D11" s="28" t="str">
        <x:v>Collingwood VIC</x:v>
      </x:c>
      <x:c r="E11" s="28" t="str">
        <x:v>Live</x:v>
      </x:c>
      <x:c r="F11" s="28" t="str">
        <x:v>2026-08-25</x:v>
      </x:c>
      <x:c r="G11" s="28" t="str">
        <x:v>Direct employer</x:v>
      </x:c>
      <x:c r="H11" s="28" t="str">
        <x:v>https://job-boards.greenhouse.io/bellroy/jobs/8104479</x:v>
      </x:c>
      <x:c r="I11" s="28" t="str">
        <x:v>Close the gap between access to AI and effective use across Creative, Marketing, Technology, Finance and Support; build workflows, workshops and guidelines; track tools, usage and return.</x:v>
      </x:c>
      <x:c r="J11" s="28" t="str">
        <x:v>Bellroy AI Effectiveness System</x:v>
      </x:c>
      <x:c r="K11" s="28" t="str">
        <x:v>A cross-functional AI workbench that can sit with any team, diagnose the task, decide whether AI is even the right tool, build reusable workflows and show licence cost versus real value.</x:v>
      </x:c>
      <x:c r="L11" s="28" t="str">
        <x:v>bellroy-ai-enablement-lead</x:v>
      </x:c>
      <x:c r="M11" s="28" t="str">
        <x:v>A</x:v>
      </x:c>
      <x:c r="N11" s="28" t="str">
        <x:v>Yes</x:v>
      </x:c>
      <x:c r="O11" s="28" t="str">
        <x:v>Take a real business task and return the AI opportunity, workflow, controls, implementation steps and value measures.</x:v>
      </x:c>
    </x:row>
    <x:row r="12">
      <x:c r="A12" s="28" t="str">
        <x:v>CBRE Asia Pacific</x:v>
      </x:c>
      <x:c r="B12" s="28" t="str">
        <x:v>AI Adoption Lead</x:v>
      </x:c>
      <x:c r="C12" s="28" t="str">
        <x:v>Real Estate / Advisory</x:v>
      </x:c>
      <x:c r="D12" s="28" t="str">
        <x:v>Sydney NSW / hybrid</x:v>
      </x:c>
      <x:c r="E12" s="28" t="str">
        <x:v>Live</x:v>
      </x:c>
      <x:c r="F12" s="28" t="str">
        <x:v>2026-08-25</x:v>
      </x:c>
      <x:c r="G12" s="28" t="str">
        <x:v>LinkedIn</x:v>
      </x:c>
      <x:c r="H12" s="28" t="str">
        <x:v>https://au.linkedin.com/jobs/view/ai-adoption-lead-at-cbre-asia-pacific-4452980768</x:v>
      </x:c>
      <x:c r="I12" s="28" t="str">
        <x:v>Make the Pacific AI roadmap real by delivering sessions and communications, sitting with business teams, understanding what works and fixing what does not.</x:v>
      </x:c>
      <x:c r="J12" s="28" t="str">
        <x:v>CBRE Pacific AI Adoption Field System</x:v>
      </x:c>
      <x:c r="K12" s="28" t="str">
        <x:v>A field-facing adoption layer for property and advisory teams: capture real use cases, coach teams, publish working patterns, collect friction and close the loop to the AI roadmap.</x:v>
      </x:c>
      <x:c r="L12" s="28" t="str">
        <x:v>cbre-asia-pacific-ai-adoption-lead</x:v>
      </x:c>
      <x:c r="M12" s="28" t="str">
        <x:v>A</x:v>
      </x:c>
      <x:c r="N12" s="28" t="str">
        <x:v>Yes</x:v>
      </x:c>
      <x:c r="O12" s="28" t="str">
        <x:v>Take a real business task and return the AI opportunity, workflow, controls, implementation steps and value measures.</x:v>
      </x:c>
    </x:row>
    <x:row r="13">
      <x:c r="A13" s="28" t="str">
        <x:v>Deloitte Australia</x:v>
      </x:c>
      <x:c r="B13" s="28" t="str">
        <x:v>AI Value &amp; Adoption Lead - Director</x:v>
      </x:c>
      <x:c r="C13" s="28" t="str">
        <x:v>Consulting</x:v>
      </x:c>
      <x:c r="D13" s="28" t="str">
        <x:v>Melbourne VIC</x:v>
      </x:c>
      <x:c r="E13" s="28" t="str">
        <x:v>Live</x:v>
      </x:c>
      <x:c r="F13" s="28" t="str">
        <x:v>2026-08-25</x:v>
      </x:c>
      <x:c r="G13" s="28" t="str">
        <x:v>Direct employer</x:v>
      </x:c>
      <x:c r="H13" s="28" t="str">
        <x:v>https://jobs.deloitte.com.au/job/Melbourne-AI-Value-%26-Adoption-Lead-Director-VIC/1366035966/</x:v>
      </x:c>
      <x:c r="I13" s="28" t="str">
        <x:v>Set the AI value agenda for strategic clients, size and prioritise opportunity, direct delivery and hold teams accountable for adoption and benefit realisation.</x:v>
      </x:c>
      <x:c r="J13" s="28" t="str">
        <x:v>Deloitte AI Value Realisation System</x:v>
      </x:c>
      <x:c r="K13" s="28" t="str">
        <x:v>A portfolio-level control system that links every AI initiative to a value hypothesis, accountable owner, adoption evidence, realised benefit, risk and next executive decision.</x:v>
      </x:c>
      <x:c r="L13" s="28" t="str">
        <x:v>deloitte-australia-ai-value-adoption-lead-director</x:v>
      </x:c>
      <x:c r="M13" s="28" t="str">
        <x:v>A</x:v>
      </x:c>
      <x:c r="N13" s="28" t="str">
        <x:v>Yes</x:v>
      </x:c>
      <x:c r="O13" s="28" t="str">
        <x:v>Take a real business task and return the AI opportunity, workflow, controls, implementation steps and value measures.</x:v>
      </x:c>
    </x:row>
    <x:row r="14">
      <x:c r="A14" s="28" t="str">
        <x:v>David Jones</x:v>
      </x:c>
      <x:c r="B14" s="28" t="str">
        <x:v>AI Capability &amp; Enablement Lead</x:v>
      </x:c>
      <x:c r="C14" s="28" t="str">
        <x:v>Retail</x:v>
      </x:c>
      <x:c r="D14" s="28" t="str">
        <x:v>Melbourne VIC / hybrid</x:v>
      </x:c>
      <x:c r="E14" s="28" t="str">
        <x:v>Live</x:v>
      </x:c>
      <x:c r="F14" s="28" t="str">
        <x:v>2026-08-25</x:v>
      </x:c>
      <x:c r="G14" s="28" t="str">
        <x:v>Indeed</x:v>
      </x:c>
      <x:c r="H14" s="28" t="str">
        <x:v>https://au.indeed.com/viewjob?jk=148ec76e4d12e141</x:v>
      </x:c>
      <x:c r="I14" s="28" t="str">
        <x:v>Lead AI capability uplift across a large workforce, embed practical AI literacy, design learning frameworks and measure adoption and impact from stores to executives.</x:v>
      </x:c>
      <x:c r="J14" s="28" t="str">
        <x:v>David Jones Workforce AI Capability System</x:v>
      </x:c>
      <x:c r="K14" s="28" t="str">
        <x:v>A role-based capability system with different AI pathways for stores, support office, merchandising, people teams and executives, connected to real work and measured adoption.</x:v>
      </x:c>
      <x:c r="L14" s="28" t="str">
        <x:v>david-jones-ai-capability-enablement-lead</x:v>
      </x:c>
      <x:c r="M14" s="28" t="str">
        <x:v>A</x:v>
      </x:c>
      <x:c r="N14" s="28" t="str">
        <x:v>Yes</x:v>
      </x:c>
      <x:c r="O14" s="28" t="str">
        <x:v>Take a role/task from store or support office and return a practical learning/workflow path.</x:v>
      </x:c>
    </x:row>
    <x:row r="15">
      <x:c r="A15" s="28" t="str">
        <x:v>Techtronic Industries</x:v>
      </x:c>
      <x:c r="B15" s="28" t="str">
        <x:v>AI Governance &amp; Enablement Lead ANZ</x:v>
      </x:c>
      <x:c r="C15" s="28" t="str">
        <x:v>Consumer / Industrial Products</x:v>
      </x:c>
      <x:c r="D15" s="28" t="str">
        <x:v>Notting Hill VIC / hybrid</x:v>
      </x:c>
      <x:c r="E15" s="28" t="str">
        <x:v>Live</x:v>
      </x:c>
      <x:c r="F15" s="28" t="str">
        <x:v>2026-08-25</x:v>
      </x:c>
      <x:c r="G15" s="28" t="str">
        <x:v>SEEK</x:v>
      </x:c>
      <x:c r="H15" s="28" t="str">
        <x:v>https://au.seek.com/AI-governance-jobs/in-All-Melbourne-VIC</x:v>
      </x:c>
      <x:c r="I15" s="28" t="str">
        <x:v>Bring structure and accountability to AI governance and enablement while driving adoption, efficiency and business value across ANZ.</x:v>
      </x:c>
      <x:c r="J15" s="28" t="str">
        <x:v>TTI ANZ AI Governance &amp; Enablement Control Plane</x:v>
      </x:c>
      <x:c r="K15" s="28" t="str">
        <x:v>A governed use-case register that moves AI ideas from business request through risk/benefit assessment, approval, enablement, deployment, ownership and measurable value.</x:v>
      </x:c>
      <x:c r="L15" s="28" t="str">
        <x:v>techtronic-industries-ai-governance-enablement-lead-anz</x:v>
      </x:c>
      <x:c r="M15" s="28" t="str">
        <x:v>A</x:v>
      </x:c>
      <x:c r="N15" s="28" t="str">
        <x:v>Yes</x:v>
      </x:c>
      <x:c r="O15" s="28" t="str">
        <x:v>Take a real business task and return the AI opportunity, workflow, controls, implementation steps and value measures.</x:v>
      </x:c>
    </x:row>
    <x:row r="16">
      <x:c r="A16" s="28" t="str">
        <x:v>Insentra</x:v>
      </x:c>
      <x:c r="B16" s="28" t="str">
        <x:v>AI Adoption Lead</x:v>
      </x:c>
      <x:c r="C16" s="28" t="str">
        <x:v>Technology Consulting</x:v>
      </x:c>
      <x:c r="D16" s="28" t="str">
        <x:v>Australia / remote</x:v>
      </x:c>
      <x:c r="E16" s="28" t="str">
        <x:v>Live</x:v>
      </x:c>
      <x:c r="F16" s="28" t="str">
        <x:v>2026-08-25</x:v>
      </x:c>
      <x:c r="G16" s="28" t="str">
        <x:v>Direct employer</x:v>
      </x:c>
      <x:c r="H16" s="28" t="str">
        <x:v>https://www.insentragroup.com/us/careers/open-opportunities/</x:v>
      </x:c>
      <x:c r="I16" s="28" t="str">
        <x:v>Lead enterprise client adoption from opportunity discovery and executive alignment through sustained measurable capability and outcomes.</x:v>
      </x:c>
      <x:c r="J16" s="28" t="str">
        <x:v>Insentra AI Momentum Adoption Control System</x:v>
      </x:c>
      <x:c r="K16" s="28" t="str">
        <x:v>A client-facing system that keeps executive narrative, opportunity pipeline, champions, behaviours, interventions and measurable outcomes connected across the whole adoption programme.</x:v>
      </x:c>
      <x:c r="L16" s="28" t="str">
        <x:v>insentra-ai-adoption-lead</x:v>
      </x:c>
      <x:c r="M16" s="28" t="str">
        <x:v>A</x:v>
      </x:c>
      <x:c r="N16" s="28" t="str">
        <x:v>Yes</x:v>
      </x:c>
      <x:c r="O16" s="28" t="str">
        <x:v>Take a real business task and return the AI opportunity, workflow, controls, implementation steps and value measures.</x:v>
      </x:c>
    </x:row>
    <x:row r="17">
      <x:c r="A17" s="28" t="str">
        <x:v>Icon Group</x:v>
      </x:c>
      <x:c r="B17" s="28" t="str">
        <x:v>Project Trainer - National Heidi AI Adoption</x:v>
      </x:c>
      <x:c r="C17" s="28" t="str">
        <x:v>Healthcare / Cancer Care</x:v>
      </x:c>
      <x:c r="D17" s="28" t="str">
        <x:v>National Australia</x:v>
      </x:c>
      <x:c r="E17" s="28" t="str">
        <x:v>Live</x:v>
      </x:c>
      <x:c r="F17" s="28" t="str">
        <x:v>2026-08-25</x:v>
      </x:c>
      <x:c r="G17" s="28" t="str">
        <x:v>Direct employer</x:v>
      </x:c>
      <x:c r="H17" s="28" t="str">
        <x:v>https://icongroup.global/en/position/project-trainer-national-heidi-ai-adoption-fixed-term-project-role-1114830/</x:v>
      </x:c>
      <x:c r="I17" s="28" t="str">
        <x:v>Roll out Heidi AI across 50+ sites with training, one-to-one coaching, workflow guidance, go-live support, barrier identification and outcome monitoring.</x:v>
      </x:c>
      <x:c r="J17" s="28" t="str">
        <x:v>Icon Heidi AI National Adoption System</x:v>
      </x:c>
      <x:c r="K17" s="28" t="str">
        <x:v>A site-by-site clinical adoption system covering readiness, role training, workflow practice, go-live support, issue capture, escalation and adoption outcomes without pretending clinical systems are connected when they are not.</x:v>
      </x:c>
      <x:c r="L17" s="28" t="str">
        <x:v>icon-group-project-trainer-national-heidi-ai-adoption</x:v>
      </x:c>
      <x:c r="M17" s="28" t="str">
        <x:v>A</x:v>
      </x:c>
      <x:c r="N17" s="28" t="str">
        <x:v>Yes</x:v>
      </x:c>
      <x:c r="O17" s="28" t="str">
        <x:v>Take a real clinical/admin workflow and generate a training, go-live and support plan without making clinical decisions.</x:v>
      </x:c>
    </x:row>
    <x:row r="18">
      <x:c r="A18" s="28" t="str">
        <x:v>MinterEllison</x:v>
      </x:c>
      <x:c r="B18" s="28" t="str">
        <x:v>Senior Manager Optimisation &amp; AI Enablement</x:v>
      </x:c>
      <x:c r="C18" s="28" t="str">
        <x:v>Law Firm / Professional Services</x:v>
      </x:c>
      <x:c r="D18" s="28" t="str">
        <x:v>Sydney NSW / hybrid</x:v>
      </x:c>
      <x:c r="E18" s="28" t="str">
        <x:v>Live</x:v>
      </x:c>
      <x:c r="F18" s="28" t="str">
        <x:v>2026-08-25</x:v>
      </x:c>
      <x:c r="G18" s="28" t="str">
        <x:v>SEEK</x:v>
      </x:c>
      <x:c r="H18" s="28" t="str">
        <x:v>https://au.seek.com/enablement-jobs/in-All-Sydney-NSW</x:v>
      </x:c>
      <x:c r="I18" s="28" t="str">
        <x:v>Lead AI-enabled People Services transformation by optimising platforms, workflows and employee experience.</x:v>
      </x:c>
      <x:c r="J18" s="28" t="str">
        <x:v>MinterEllison People Services AI Optimisation System</x:v>
      </x:c>
      <x:c r="K18" s="28" t="str">
        <x:v>A people-operations workflow engine that identifies repetitive HR/service work, redesigns it with AI and automation, sets quality controls and measures service improvement.</x:v>
      </x:c>
      <x:c r="L18" s="28" t="str">
        <x:v>minterellison-senior-manager-optimisation-ai-enablement</x:v>
      </x:c>
      <x:c r="M18" s="28" t="str">
        <x:v>A</x:v>
      </x:c>
      <x:c r="N18" s="28" t="str">
        <x:v>Yes</x:v>
      </x:c>
      <x:c r="O18" s="28" t="str">
        <x:v>Take a real business task and return the AI opportunity, workflow, controls, implementation steps and value measures.</x:v>
      </x:c>
    </x:row>
    <x:row r="19">
      <x:c r="A19" s="28" t="str">
        <x:v>Thomsons Lawyers</x:v>
      </x:c>
      <x:c r="B19" s="28" t="str">
        <x:v>Technology &amp; AI Trainer</x:v>
      </x:c>
      <x:c r="C19" s="28" t="str">
        <x:v>Law Firm</x:v>
      </x:c>
      <x:c r="D19" s="28" t="str">
        <x:v>Canberra ACT</x:v>
      </x:c>
      <x:c r="E19" s="28" t="str">
        <x:v>Recent / expiring</x:v>
      </x:c>
      <x:c r="F19" s="28" t="str">
        <x:v>2026-08-25</x:v>
      </x:c>
      <x:c r="G19" s="28" t="str">
        <x:v>SEEK</x:v>
      </x:c>
      <x:c r="H19" s="28" t="str">
        <x:v>https://au.seek.com/ai-trainer-jobs/in-All-Australia</x:v>
      </x:c>
      <x:c r="I19" s="28" t="str">
        <x:v>Train and support legal staff in technology and AI with a practical service-oriented approach.</x:v>
      </x:c>
      <x:c r="J19" s="28" t="str">
        <x:v>Thomsons Legal AI Learning &amp; Support System</x:v>
      </x:c>
      <x:c r="K19" s="28" t="str">
        <x:v>A lawyer-facing coach and practice library built around legal research, drafting, document automation, Microsoft tools and safe-use guidance.</x:v>
      </x:c>
      <x:c r="L19" s="28" t="str">
        <x:v>thomsons-lawyers-technology-ai-trainer</x:v>
      </x:c>
      <x:c r="M19" s="28" t="str">
        <x:v>A</x:v>
      </x:c>
      <x:c r="N19" s="28" t="str">
        <x:v>Yes</x:v>
      </x:c>
      <x:c r="O19" s="28" t="str">
        <x:v>Take a legal workflow and return a matter-safe AI workflow, human review points and reusable guidance.</x:v>
      </x:c>
    </x:row>
    <x:row r="20">
      <x:c r="A20" s="28" t="str">
        <x:v>Team 400</x:v>
      </x:c>
      <x:c r="B20" s="28" t="str">
        <x:v>AI Trainer &amp; AI Agent Consultant</x:v>
      </x:c>
      <x:c r="C20" s="28" t="str">
        <x:v>AI Consulting</x:v>
      </x:c>
      <x:c r="D20" s="28" t="str">
        <x:v>Sydney / Brisbane</x:v>
      </x:c>
      <x:c r="E20" s="28" t="str">
        <x:v>Live</x:v>
      </x:c>
      <x:c r="F20" s="28" t="str">
        <x:v>2026-08-25</x:v>
      </x:c>
      <x:c r="G20" s="28" t="str">
        <x:v>SEEK</x:v>
      </x:c>
      <x:c r="H20" s="28" t="str">
        <x:v>https://au.seek.com/ai-trainer-jobs/in-All-Australia</x:v>
      </x:c>
      <x:c r="I20" s="28" t="str">
        <x:v>Build practical AI agents and workflows and help business teams understand, adopt and use them properly through training.</x:v>
      </x:c>
      <x:c r="J20" s="28" t="str">
        <x:v>Team 400 Agent Delivery &amp; Adoption Workbench</x:v>
      </x:c>
      <x:c r="K20" s="28" t="str">
        <x:v>A consultant workbench that moves from client process interview to working agent design, training plan, adoption support and value evidence.</x:v>
      </x:c>
      <x:c r="L20" s="28" t="str">
        <x:v>team-400-ai-trainer-ai-agent-consultant</x:v>
      </x:c>
      <x:c r="M20" s="28" t="str">
        <x:v>B</x:v>
      </x:c>
      <x:c r="N20" s="28" t="str">
        <x:v>Yes</x:v>
      </x:c>
      <x:c r="O20" s="28" t="str">
        <x:v>Take a real business task and return the AI opportunity, workflow, controls, implementation steps and value measures.</x:v>
      </x:c>
    </x:row>
    <x:row r="21">
      <x:c r="A21" s="28" t="str">
        <x:v>Epiphany Training + Consulting</x:v>
      </x:c>
      <x:c r="B21" s="28" t="str">
        <x:v>AI Consultant</x:v>
      </x:c>
      <x:c r="C21" s="28" t="str">
        <x:v>AI Training / Consulting</x:v>
      </x:c>
      <x:c r="D21" s="28" t="str">
        <x:v>Sydney NSW</x:v>
      </x:c>
      <x:c r="E21" s="28" t="str">
        <x:v>Live</x:v>
      </x:c>
      <x:c r="F21" s="28" t="str">
        <x:v>2026-08-25</x:v>
      </x:c>
      <x:c r="G21" s="28" t="str">
        <x:v>SEEK</x:v>
      </x:c>
      <x:c r="H21" s="28" t="str">
        <x:v>https://au.seek.com/ai-trainer-jobs/in-All-Australia</x:v>
      </x:c>
      <x:c r="I21" s="28" t="str">
        <x:v>Create tailored AI training, practical workshops and responsible adoption support for businesses.</x:v>
      </x:c>
      <x:c r="J21" s="28" t="str">
        <x:v>Epiphany Client AI Learning Studio</x:v>
      </x:c>
      <x:c r="K21" s="28" t="str">
        <x:v>A system that converts a client's roles and actual work into tailored workshops, practice tasks, safe-use guidance and post-training adoption evidence.</x:v>
      </x:c>
      <x:c r="L21" s="28" t="str">
        <x:v>epiphany-training-consulting-ai-consultant</x:v>
      </x:c>
      <x:c r="M21" s="28" t="str">
        <x:v>B</x:v>
      </x:c>
      <x:c r="N21" s="28" t="str">
        <x:v>Yes</x:v>
      </x:c>
      <x:c r="O21" s="28" t="str">
        <x:v>Take a real business task and return the AI opportunity, workflow, controls, implementation steps and value measures.</x:v>
      </x:c>
    </x:row>
    <x:row r="22">
      <x:c r="A22" s="28" t="str">
        <x:v>Australian Retirement Trust</x:v>
      </x:c>
      <x:c r="B22" s="28" t="str">
        <x:v>Manager - AI Governance</x:v>
      </x:c>
      <x:c r="C22" s="28" t="str">
        <x:v>Superannuation</x:v>
      </x:c>
      <x:c r="D22" s="28" t="str">
        <x:v>Brisbane QLD / hybrid</x:v>
      </x:c>
      <x:c r="E22" s="28" t="str">
        <x:v>Live</x:v>
      </x:c>
      <x:c r="F22" s="28" t="str">
        <x:v>2026-08-25</x:v>
      </x:c>
      <x:c r="G22" s="28" t="str">
        <x:v>SEEK</x:v>
      </x:c>
      <x:c r="H22" s="28" t="str">
        <x:v>https://au.seek.com/ai-governance-jobs/in-All-Australia</x:v>
      </x:c>
      <x:c r="I22" s="28" t="str">
        <x:v>Lead AI governance capability and framework, partner with risk/legal/technology and shape responsible enterprise AI adoption.</x:v>
      </x:c>
      <x:c r="J22" s="28" t="str">
        <x:v>ART Responsible AI Governance System</x:v>
      </x:c>
      <x:c r="K22" s="28" t="str">
        <x:v>A decision and assurance layer for every AI use case: purpose, data, risk, approval, controls, owner, monitoring and responsible-adoption evidence.</x:v>
      </x:c>
      <x:c r="L22" s="28" t="str">
        <x:v>australian-retirement-trust-manager-ai-governance</x:v>
      </x:c>
      <x:c r="M22" s="28" t="str">
        <x:v>A</x:v>
      </x:c>
      <x:c r="N22" s="28" t="str">
        <x:v>Yes</x:v>
      </x:c>
      <x:c r="O22" s="28" t="str">
        <x:v>Take a real business task and return the AI opportunity, workflow, controls, implementation steps and value measures.</x:v>
      </x:c>
    </x:row>
    <x:row r="23">
      <x:c r="A23" s="28" t="str">
        <x:v>Australian Retirement Trust</x:v>
      </x:c>
      <x:c r="B23" s="28" t="str">
        <x:v>AI Governance Specialist</x:v>
      </x:c>
      <x:c r="C23" s="28" t="str">
        <x:v>Superannuation</x:v>
      </x:c>
      <x:c r="D23" s="28" t="str">
        <x:v>Brisbane QLD / hybrid</x:v>
      </x:c>
      <x:c r="E23" s="28" t="str">
        <x:v>Live</x:v>
      </x:c>
      <x:c r="F23" s="28" t="str">
        <x:v>2026-08-25</x:v>
      </x:c>
      <x:c r="G23" s="28" t="str">
        <x:v>SEEK</x:v>
      </x:c>
      <x:c r="H23" s="28" t="str">
        <x:v>https://au.seek.com/ai-governance-jobs/in-All-Australia</x:v>
      </x:c>
      <x:c r="I23" s="28" t="str">
        <x:v>Influence AI governance across a major organisation and support ethical, compliant and trusted AI innovation.</x:v>
      </x:c>
      <x:c r="J23" s="28" t="str">
        <x:v>ART AI Governance Specialist Workbench</x:v>
      </x:c>
      <x:c r="K23" s="28" t="str">
        <x:v>The operational side of governance: intake, risk assessment, evidence, approvals, control testing, policy guidance and audit-ready records.</x:v>
      </x:c>
      <x:c r="L23" s="28" t="str">
        <x:v>australian-retirement-trust-ai-governance-specialist</x:v>
      </x:c>
      <x:c r="M23" s="28" t="str">
        <x:v>B</x:v>
      </x:c>
      <x:c r="N23" s="28" t="str">
        <x:v>Yes</x:v>
      </x:c>
      <x:c r="O23" s="28" t="str">
        <x:v>Take a real business task and return the AI opportunity, workflow, controls, implementation steps and value measures.</x:v>
      </x:c>
    </x:row>
    <x:row r="24">
      <x:c r="A24" s="28" t="str">
        <x:v>Australian Financial Complaints Authority</x:v>
      </x:c>
      <x:c r="B24" s="28" t="str">
        <x:v>Manager, AI Governance</x:v>
      </x:c>
      <x:c r="C24" s="28" t="str">
        <x:v>Financial Ombudsman / Regulation</x:v>
      </x:c>
      <x:c r="D24" s="28" t="str">
        <x:v>Melbourne VIC / hybrid</x:v>
      </x:c>
      <x:c r="E24" s="28" t="str">
        <x:v>Live</x:v>
      </x:c>
      <x:c r="F24" s="28" t="str">
        <x:v>2026-08-25</x:v>
      </x:c>
      <x:c r="G24" s="28" t="str">
        <x:v>SEEK</x:v>
      </x:c>
      <x:c r="H24" s="28" t="str">
        <x:v>https://au.seek.com/ai-governance-jobs</x:v>
      </x:c>
      <x:c r="I24" s="28" t="str">
        <x:v>Design, implement and improve an AI governance and assurance framework while shaping how AI is adopted.</x:v>
      </x:c>
      <x:c r="J24" s="28" t="str">
        <x:v>AFCA AI Governance &amp; Assurance System</x:v>
      </x:c>
      <x:c r="K24" s="28" t="str">
        <x:v>A governance system designed around high-accountability decision environments: use-case register, assurance evidence, human review, audit trail and continuous control improvement.</x:v>
      </x:c>
      <x:c r="L24" s="28" t="str">
        <x:v>australian-financial-complaints-authority-manager-ai-governance</x:v>
      </x:c>
      <x:c r="M24" s="28" t="str">
        <x:v>A</x:v>
      </x:c>
      <x:c r="N24" s="28" t="str">
        <x:v>Yes</x:v>
      </x:c>
      <x:c r="O24" s="28" t="str">
        <x:v>Take a real business task and return the AI opportunity, workflow, controls, implementation steps and value measures.</x:v>
      </x:c>
    </x:row>
    <x:row r="25">
      <x:c r="A25" s="28" t="str">
        <x:v>Great Southern Bank</x:v>
      </x:c>
      <x:c r="B25" s="28" t="str">
        <x:v>Data and AI Governance Specialist</x:v>
      </x:c>
      <x:c r="C25" s="28" t="str">
        <x:v>Banking</x:v>
      </x:c>
      <x:c r="D25" s="28" t="str">
        <x:v>Brisbane QLD / hybrid</x:v>
      </x:c>
      <x:c r="E25" s="28" t="str">
        <x:v>Live</x:v>
      </x:c>
      <x:c r="F25" s="28" t="str">
        <x:v>2026-08-25</x:v>
      </x:c>
      <x:c r="G25" s="28" t="str">
        <x:v>SEEK</x:v>
      </x:c>
      <x:c r="H25" s="28" t="str">
        <x:v>https://au.seek.com/artificial-intelligence-governance-jobs</x:v>
      </x:c>
      <x:c r="I25" s="28" t="str">
        <x:v>Shape data and AI governance, responsible-AI practices, data quality and regulatory compliance across strategic initiatives.</x:v>
      </x:c>
      <x:c r="J25" s="28" t="str">
        <x:v>Great Southern Bank Data + AI Governance System</x:v>
      </x:c>
      <x:c r="K25" s="28" t="str">
        <x:v>A joined-up data-and-AI control layer that makes source data, AI purpose, quality, risk, policy, approvals and ongoing accountability visible in one record.</x:v>
      </x:c>
      <x:c r="L25" s="28" t="str">
        <x:v>great-southern-bank-data-and-ai-governance-specialist</x:v>
      </x:c>
      <x:c r="M25" s="28" t="str">
        <x:v>B</x:v>
      </x:c>
      <x:c r="N25" s="28" t="str">
        <x:v>Yes</x:v>
      </x:c>
      <x:c r="O25" s="28" t="str">
        <x:v>Take a business/change workflow and return opportunity, controls, workflow design and measurable outcomes.</x:v>
      </x:c>
    </x:row>
    <x:row r="26">
      <x:c r="A26" s="28" t="str">
        <x:v>NSW Department of Customer Service</x:v>
      </x:c>
      <x:c r="B26" s="28" t="str">
        <x:v>Manager, Data &amp; AI Governance</x:v>
      </x:c>
      <x:c r="C26" s="28" t="str">
        <x:v>Government</x:v>
      </x:c>
      <x:c r="D26" s="28" t="str">
        <x:v>Sydney NSW / hybrid</x:v>
      </x:c>
      <x:c r="E26" s="28" t="str">
        <x:v>Live</x:v>
      </x:c>
      <x:c r="F26" s="28" t="str">
        <x:v>2026-08-25</x:v>
      </x:c>
      <x:c r="G26" s="28" t="str">
        <x:v>SEEK</x:v>
      </x:c>
      <x:c r="H26" s="28" t="str">
        <x:v>https://au.seek.com/ai-governance-jobs/in-All-Australia</x:v>
      </x:c>
      <x:c r="I26" s="28" t="str">
        <x:v>Balance innovation, compliance and public trust while shaping Data &amp; AI governance.</x:v>
      </x:c>
      <x:c r="J26" s="28" t="str">
        <x:v>NSW DCS Trusted AI Governance System</x:v>
      </x:c>
      <x:c r="K26" s="28" t="str">
        <x:v>A public-sector AI governance system that makes public interest, data stewardship, risk, human oversight, approvals and auditability explicit before deployment.</x:v>
      </x:c>
      <x:c r="L26" s="28" t="str">
        <x:v>nsw-department-of-customer-service-manager-data-ai-governance</x:v>
      </x:c>
      <x:c r="M26" s="28" t="str">
        <x:v>A</x:v>
      </x:c>
      <x:c r="N26" s="28" t="str">
        <x:v>Yes</x:v>
      </x:c>
      <x:c r="O26" s="28" t="str">
        <x:v>Take a real business task and return the AI opportunity, workflow, controls, implementation steps and value measures.</x:v>
      </x:c>
    </x:row>
    <x:row r="27">
      <x:c r="A27" s="28" t="str">
        <x:v>Central Land Council</x:v>
      </x:c>
      <x:c r="B27" s="28" t="str">
        <x:v>PM009 - AI Specialist</x:v>
      </x:c>
      <x:c r="C27" s="28" t="str">
        <x:v>Indigenous Organisation / Public Purpose</x:v>
      </x:c>
      <x:c r="D27" s="28" t="str">
        <x:v>Alice Springs NT</x:v>
      </x:c>
      <x:c r="E27" s="28" t="str">
        <x:v>Live</x:v>
      </x:c>
      <x:c r="F27" s="28" t="str">
        <x:v>2026-08-25</x:v>
      </x:c>
      <x:c r="G27" s="28" t="str">
        <x:v>SEEK</x:v>
      </x:c>
      <x:c r="H27" s="28" t="str">
        <x:v>https://au.seek.com/ai-governance-jobs/in-All-Australia</x:v>
      </x:c>
      <x:c r="I27" s="28" t="str">
        <x:v>Lead AI governance, risk management, integration and operations for secure, compliant and effective use of AI.</x:v>
      </x:c>
      <x:c r="J27" s="28" t="str">
        <x:v>CLC AI Governance &amp; Operations System</x:v>
      </x:c>
      <x:c r="K27" s="28" t="str">
        <x:v>A combined governance and operations control plane: use-case intake, risk, integrations, approvals, deployed tools, owners, incidents, performance and safe-use guidance.</x:v>
      </x:c>
      <x:c r="L27" s="28" t="str">
        <x:v>central-land-council-pm009-ai-specialist</x:v>
      </x:c>
      <x:c r="M27" s="28" t="str">
        <x:v>B</x:v>
      </x:c>
      <x:c r="N27" s="28" t="str">
        <x:v>Yes</x:v>
      </x:c>
      <x:c r="O27" s="28" t="str">
        <x:v>Take a real business task and return the AI opportunity, workflow, controls, implementation steps and value measures.</x:v>
      </x:c>
    </x:row>
    <x:row r="28">
      <x:c r="A28" s="28" t="str">
        <x:v>City of Stonnington</x:v>
      </x:c>
      <x:c r="B28" s="28" t="str">
        <x:v>AI Enablement Lead</x:v>
      </x:c>
      <x:c r="C28" s="28" t="str">
        <x:v>Local Government</x:v>
      </x:c>
      <x:c r="D28" s="28" t="str">
        <x:v>Malvern VIC / hybrid</x:v>
      </x:c>
      <x:c r="E28" s="28" t="str">
        <x:v>Recent / expiring</x:v>
      </x:c>
      <x:c r="F28" s="28" t="str">
        <x:v>2026-08-25</x:v>
      </x:c>
      <x:c r="G28" s="28" t="str">
        <x:v>SEEK</x:v>
      </x:c>
      <x:c r="H28" s="28" t="str">
        <x:v>https://au.seek.com/artificial-intelligence-governance-jobs/in-All-Australia</x:v>
      </x:c>
      <x:c r="I28" s="28" t="str">
        <x:v>Help council adopt AI in a practical, responsible and people-focused way.</x:v>
      </x:c>
      <x:c r="J28" s="28" t="str">
        <x:v>Stonnington Practical AI Enablement System</x:v>
      </x:c>
      <x:c r="K28" s="28" t="str">
        <x:v>A council-ready system for finding service/admin use cases, coaching staff, applying responsible-use controls and showing which changes actually improve service delivery.</x:v>
      </x:c>
      <x:c r="L28" s="28" t="str">
        <x:v>city-of-stonnington-ai-enablement-lead</x:v>
      </x:c>
      <x:c r="M28" s="28" t="str">
        <x:v>B</x:v>
      </x:c>
      <x:c r="N28" s="28" t="str">
        <x:v>Yes</x:v>
      </x:c>
      <x:c r="O28" s="28" t="str">
        <x:v>Take a real business task and return the AI opportunity, workflow, controls, implementation steps and value measures.</x:v>
      </x:c>
    </x:row>
    <x:row r="29">
      <x:c r="A29" s="28" t="str">
        <x:v>Wesfarmers Chemicals, Energy &amp; Fertilisers</x:v>
      </x:c>
      <x:c r="B29" s="28" t="str">
        <x:v>Digital Enablement Specialist (AI Transformation)</x:v>
      </x:c>
      <x:c r="C29" s="28" t="str">
        <x:v>Industrial / Resources</x:v>
      </x:c>
      <x:c r="D29" s="28" t="str">
        <x:v>Perth WA</x:v>
      </x:c>
      <x:c r="E29" s="28" t="str">
        <x:v>Live</x:v>
      </x:c>
      <x:c r="F29" s="28" t="str">
        <x:v>2026-08-25</x:v>
      </x:c>
      <x:c r="G29" s="28" t="str">
        <x:v>SEEK</x:v>
      </x:c>
      <x:c r="H29" s="28" t="str">
        <x:v>https://au.seek.com/ai-governance-jobs/in-All-Australia</x:v>
      </x:c>
      <x:c r="I29" s="28" t="str">
        <x:v>Support a pivotal Digital AI journey with digital enablement and strong AI governance.</x:v>
      </x:c>
      <x:c r="J29" s="28" t="str">
        <x:v>WesCEF AI Transformation Enablement System</x:v>
      </x:c>
      <x:c r="K29" s="28" t="str">
        <x:v>An industrial transformation pipeline that links business opportunity, workflow redesign, governance, rollout, adoption and value evidence.</x:v>
      </x:c>
      <x:c r="L29" s="28" t="str">
        <x:v>wesfarmers-chemicals-energy-fertilisers-digital-enablement-specialist-ai-transfo</x:v>
      </x:c>
      <x:c r="M29" s="28" t="str">
        <x:v>B</x:v>
      </x:c>
      <x:c r="N29" s="28" t="str">
        <x:v>Yes</x:v>
      </x:c>
      <x:c r="O29" s="28" t="str">
        <x:v>Take a real business task and return the AI opportunity, workflow, controls, implementation steps and value measures.</x:v>
      </x:c>
    </x:row>
    <x:row r="30">
      <x:c r="A30" s="28" t="str">
        <x:v>Victorian Department of Energy, Environment and Climate Action</x:v>
      </x:c>
      <x:c r="B30" s="28" t="str">
        <x:v>AI &amp; Data Lead</x:v>
      </x:c>
      <x:c r="C30" s="28" t="str">
        <x:v>State Government</x:v>
      </x:c>
      <x:c r="D30" s="28" t="str">
        <x:v>Melbourne VIC / hybrid</x:v>
      </x:c>
      <x:c r="E30" s="28" t="str">
        <x:v>Recent / expiring</x:v>
      </x:c>
      <x:c r="F30" s="28" t="str">
        <x:v>2026-08-25</x:v>
      </x:c>
      <x:c r="G30" s="28" t="str">
        <x:v>SEEK</x:v>
      </x:c>
      <x:c r="H30" s="28" t="str">
        <x:v>https://au.seek.com/artificial-intelligence-governance-jobs/in-All-Australia</x:v>
      </x:c>
      <x:c r="I30" s="28" t="str">
        <x:v>Lead AI, data and analytics capability and deliver secure, trusted AI and data solutions with strong governance.</x:v>
      </x:c>
      <x:c r="J30" s="28" t="str">
        <x:v>DEECA Trusted AI &amp; Data Delivery System</x:v>
      </x:c>
      <x:c r="K30" s="28" t="str">
        <x:v>A portfolio system for government AI and data solutions: problem, data, governance, delivery path, owner, outcome and continuous improvement.</x:v>
      </x:c>
      <x:c r="L30" s="28" t="str">
        <x:v>victorian-department-of-energy-environment-and-climate-action-ai-data-lead</x:v>
      </x:c>
      <x:c r="M30" s="28" t="str">
        <x:v>B</x:v>
      </x:c>
      <x:c r="N30" s="28" t="str">
        <x:v>Yes</x:v>
      </x:c>
      <x:c r="O30" s="28" t="str">
        <x:v>Take a real business task and return the AI opportunity, workflow, controls, implementation steps and value measures.</x:v>
      </x:c>
    </x:row>
    <x:row r="31">
      <x:c r="A31" s="28" t="str">
        <x:v>Victorian Department of Energy, Environment and Climate Action</x:v>
      </x:c>
      <x:c r="B31" s="28" t="str">
        <x:v>Artificial Intelligence (AI) Technical Specialist</x:v>
      </x:c>
      <x:c r="C31" s="28" t="str">
        <x:v>State Government</x:v>
      </x:c>
      <x:c r="D31" s="28" t="str">
        <x:v>Melbourne VIC / hybrid</x:v>
      </x:c>
      <x:c r="E31" s="28" t="str">
        <x:v>Recent / expiring</x:v>
      </x:c>
      <x:c r="F31" s="28" t="str">
        <x:v>2026-08-25</x:v>
      </x:c>
      <x:c r="G31" s="28" t="str">
        <x:v>SEEK</x:v>
      </x:c>
      <x:c r="H31" s="28" t="str">
        <x:v>https://au.seek.com/artificial-intelligence-governance-jobs/in-All-Australia</x:v>
      </x:c>
      <x:c r="I31" s="28" t="str">
        <x:v>Drive innovation, governance and continuous improvement across AI services and guide business units in using AI tools.</x:v>
      </x:c>
      <x:c r="J31" s="28" t="str">
        <x:v>DEECA AI Service Enablement Workbench</x:v>
      </x:c>
      <x:c r="K31" s="28" t="str">
        <x:v>A technical enablement layer for approved AI services: tool catalogue, guidance, patterns, integration notes, issues, change log and business-unit support.</x:v>
      </x:c>
      <x:c r="L31" s="28" t="str">
        <x:v>victorian-department-of-energy-environment-and-climate-action-artificial-intelli</x:v>
      </x:c>
      <x:c r="M31" s="28" t="str">
        <x:v>B</x:v>
      </x:c>
      <x:c r="N31" s="28" t="str">
        <x:v>Yes</x:v>
      </x:c>
      <x:c r="O31" s="28" t="str">
        <x:v>Take a real business task and return the AI opportunity, workflow, controls, implementation steps and value measures.</x:v>
      </x:c>
    </x:row>
    <x:row r="32">
      <x:c r="A32" s="28" t="str">
        <x:v>City of Whittlesea</x:v>
      </x:c>
      <x:c r="B32" s="28" t="str">
        <x:v>AI Solutions Officer</x:v>
      </x:c>
      <x:c r="C32" s="28" t="str">
        <x:v>Local Government</x:v>
      </x:c>
      <x:c r="D32" s="28" t="str">
        <x:v>South Morang VIC</x:v>
      </x:c>
      <x:c r="E32" s="28" t="str">
        <x:v>Recent / expiring</x:v>
      </x:c>
      <x:c r="F32" s="28" t="str">
        <x:v>2026-08-25</x:v>
      </x:c>
      <x:c r="G32" s="28" t="str">
        <x:v>SEEK</x:v>
      </x:c>
      <x:c r="H32" s="28" t="str">
        <x:v>https://au.seek.com/ai-policy-jobs/in-All-Melbourne-VIC</x:v>
      </x:c>
      <x:c r="I32" s="28" t="str">
        <x:v>Deliver innovative AI solutions, drive adoption and improve services for the community.</x:v>
      </x:c>
      <x:c r="J32" s="28" t="str">
        <x:v>Whittlesea AI Service Improvement System</x:v>
      </x:c>
      <x:c r="K32" s="28" t="str">
        <x:v>A council service-improvement engine: start with service pain points, design a safe AI workflow, pilot it with staff and measure whether the resident/staff experience improves.</x:v>
      </x:c>
      <x:c r="L32" s="28" t="str">
        <x:v>city-of-whittlesea-ai-solutions-officer</x:v>
      </x:c>
      <x:c r="M32" s="28" t="str">
        <x:v>B</x:v>
      </x:c>
      <x:c r="N32" s="28" t="str">
        <x:v>Yes</x:v>
      </x:c>
      <x:c r="O32" s="28" t="str">
        <x:v>Take a real business task and return the AI opportunity, workflow, controls, implementation steps and value measures.</x:v>
      </x:c>
    </x:row>
    <x:row r="33">
      <x:c r="A33" s="28" t="str">
        <x:v>Australian Renewable Energy Agency (ARENA)</x:v>
      </x:c>
      <x:c r="B33" s="28" t="str">
        <x:v>Applications and AI Lead</x:v>
      </x:c>
      <x:c r="C33" s="28" t="str">
        <x:v>Federal Agency / Energy</x:v>
      </x:c>
      <x:c r="D33" s="28" t="str">
        <x:v>Sydney / Melbourne / Canberra</x:v>
      </x:c>
      <x:c r="E33" s="28" t="str">
        <x:v>Live</x:v>
      </x:c>
      <x:c r="F33" s="28" t="str">
        <x:v>2026-08-25</x:v>
      </x:c>
      <x:c r="G33" s="28" t="str">
        <x:v>SEEK</x:v>
      </x:c>
      <x:c r="H33" s="28" t="str">
        <x:v>https://au.seek.com/Enterprise-Ai-jobs/in-All-Sydney-NSW</x:v>
      </x:c>
      <x:c r="I33" s="28" t="str">
        <x:v>Own enterprise applications and AI roadmap and turn applications and AI into business value.</x:v>
      </x:c>
      <x:c r="J33" s="28" t="str">
        <x:v>ARENA Applications + AI Value System</x:v>
      </x:c>
      <x:c r="K33" s="28" t="str">
        <x:v>A roadmap system that links enterprise applications, AI opportunities, owners, dependencies, vendors, delivery work and business value.</x:v>
      </x:c>
      <x:c r="L33" s="28" t="str">
        <x:v>australian-renewable-energy-agency-arena-applications-and-ai-lead</x:v>
      </x:c>
      <x:c r="M33" s="28" t="str">
        <x:v>B</x:v>
      </x:c>
      <x:c r="N33" s="28" t="str">
        <x:v>Yes</x:v>
      </x:c>
      <x:c r="O33" s="28" t="str">
        <x:v>Take a real business task and return the AI opportunity, workflow, controls, implementation steps and value measures.</x:v>
      </x:c>
    </x:row>
    <x:row r="34">
      <x:c r="A34" s="28" t="str">
        <x:v>CBRE Advisory</x:v>
      </x:c>
      <x:c r="B34" s="28" t="str">
        <x:v>AI Analytics Lead</x:v>
      </x:c>
      <x:c r="C34" s="28" t="str">
        <x:v>Real Estate / Advisory</x:v>
      </x:c>
      <x:c r="D34" s="28" t="str">
        <x:v>Sydney NSW / hybrid</x:v>
      </x:c>
      <x:c r="E34" s="28" t="str">
        <x:v>Live</x:v>
      </x:c>
      <x:c r="F34" s="28" t="str">
        <x:v>2026-08-25</x:v>
      </x:c>
      <x:c r="G34" s="28" t="str">
        <x:v>SEEK</x:v>
      </x:c>
      <x:c r="H34" s="28" t="str">
        <x:v>https://au.seek.com/CBRE-jobs/in-Sydney-NSW-2000</x:v>
      </x:c>
      <x:c r="I34" s="28" t="str">
        <x:v>Help shape CBRE's AI transformation as an AI subject-matter expert with senior leadership exposure.</x:v>
      </x:c>
      <x:c r="J34" s="28" t="str">
        <x:v>CBRE AI Analytics &amp; Opportunity System</x:v>
      </x:c>
      <x:c r="K34" s="28" t="str">
        <x:v>An analytics-led companion to the adoption role: identify high-value AI opportunities, test impact hypotheses and feed validated patterns back into adoption.</x:v>
      </x:c>
      <x:c r="L34" s="28" t="str">
        <x:v>cbre-advisory-ai-analytics-lead</x:v>
      </x:c>
      <x:c r="M34" s="28" t="str">
        <x:v>B</x:v>
      </x:c>
      <x:c r="N34" s="28" t="str">
        <x:v>Yes</x:v>
      </x:c>
      <x:c r="O34" s="28" t="str">
        <x:v>Take a real business task and return the AI opportunity, workflow, controls, implementation steps and value measures.</x:v>
      </x:c>
    </x:row>
    <x:row r="35">
      <x:c r="A35" s="28" t="str">
        <x:v>RSM Australia</x:v>
      </x:c>
      <x:c r="B35" s="28" t="str">
        <x:v>Data Analytics &amp; AI Manager</x:v>
      </x:c>
      <x:c r="C35" s="28" t="str">
        <x:v>Accounting / Advisory</x:v>
      </x:c>
      <x:c r="D35" s="28" t="str">
        <x:v>Sydney NSW / hybrid</x:v>
      </x:c>
      <x:c r="E35" s="28" t="str">
        <x:v>Live</x:v>
      </x:c>
      <x:c r="F35" s="28" t="str">
        <x:v>2026-08-25</x:v>
      </x:c>
      <x:c r="G35" s="28" t="str">
        <x:v>SEEK</x:v>
      </x:c>
      <x:c r="H35" s="28" t="str">
        <x:v>https://au.seek.com/Data-%26-AI-Governance-jobs/in-All-Sydney-NSW</x:v>
      </x:c>
      <x:c r="I35" s="28" t="str">
        <x:v>Lead strategy, development and adoption of advanced analytics and AI while delivering business impact and risk-focused advisory work.</x:v>
      </x:c>
      <x:c r="J35" s="28" t="str">
        <x:v>RSM Analytics + AI Value Delivery System</x:v>
      </x:c>
      <x:c r="K35" s="28" t="str">
        <x:v>A consulting delivery system connecting client problem, analytics/AI solution, governance, adoption, evidence and measurable business impact.</x:v>
      </x:c>
      <x:c r="L35" s="28" t="str">
        <x:v>rsm-australia-data-analytics-ai-manager</x:v>
      </x:c>
      <x:c r="M35" s="28" t="str">
        <x:v>B</x:v>
      </x:c>
      <x:c r="N35" s="28" t="str">
        <x:v>Yes</x:v>
      </x:c>
      <x:c r="O35" s="28" t="str">
        <x:v>Take a real business task and return the AI opportunity, workflow, controls, implementation steps and value measures.</x:v>
      </x:c>
    </x:row>
    <x:row r="36">
      <x:c r="A36" s="28" t="str">
        <x:v>Hays client (unnamed)</x:v>
      </x:c>
      <x:c r="B36" s="28" t="str">
        <x:v>Technology &amp; AI Trainer</x:v>
      </x:c>
      <x:c r="C36" s="28" t="str">
        <x:v>Enterprise / Anonymous</x:v>
      </x:c>
      <x:c r="D36" s="28" t="str">
        <x:v>Canberra ACT / hybrid</x:v>
      </x:c>
      <x:c r="E36" s="28" t="str">
        <x:v>Recent / expiring</x:v>
      </x:c>
      <x:c r="F36" s="28" t="str">
        <x:v>2026-08-25</x:v>
      </x:c>
      <x:c r="G36" s="28" t="str">
        <x:v>SEEK</x:v>
      </x:c>
      <x:c r="H36" s="28" t="str">
        <x:v>https://au.seek.com/ai-trainer-jobs/in-All-Australia</x:v>
      </x:c>
      <x:c r="I36" s="28" t="str">
        <x:v>Lead AI adoption and digital transformation initiatives and shape workplace technology capability.</x:v>
      </x:c>
      <x:c r="J36" s="28" t="str">
        <x:v>Enterprise AI Capability System</x:v>
      </x:c>
      <x:c r="K36" s="28" t="str">
        <x:v>Research-only anonymous brief: role-based training, workflow discovery, practical support and adoption tracking.</x:v>
      </x:c>
      <x:c r="L36" s="28" t="str">
        <x:v>hays-client-unnamed-technology-ai-trainer</x:v>
      </x:c>
      <x:c r="M36" s="28" t="str">
        <x:v>C</x:v>
      </x:c>
      <x:c r="N36" s="28" t="str">
        <x:v>No</x:v>
      </x:c>
      <x:c r="O36" s="28" t="str">
        <x:v>Take a real business task and return the AI opportunity, workflow, controls, implementation steps and value measures.</x:v>
      </x:c>
    </x:row>
    <x:row r="37">
      <x:c r="A37" s="28" t="str">
        <x:v>Private ASX 150 organisation</x:v>
      </x:c>
      <x:c r="B37" s="28" t="str">
        <x:v>AI Academy Lead | AI Training, Adoption &amp; Enablement</x:v>
      </x:c>
      <x:c r="C37" s="28" t="str">
        <x:v>Large Enterprise / Anonymous</x:v>
      </x:c>
      <x:c r="D37" s="28" t="str">
        <x:v>Sydney NSW / hybrid</x:v>
      </x:c>
      <x:c r="E37" s="28" t="str">
        <x:v>Live</x:v>
      </x:c>
      <x:c r="F37" s="28" t="str">
        <x:v>2026-08-25</x:v>
      </x:c>
      <x:c r="G37" s="28" t="str">
        <x:v>SEEK</x:v>
      </x:c>
      <x:c r="H37" s="28" t="str">
        <x:v>https://au.seek.com/ai-trainer-jobs/in-All-Australia</x:v>
      </x:c>
      <x:c r="I37" s="28" t="str">
        <x:v>Establish and lead a new enterprise AI capability function covering training, adoption and enablement.</x:v>
      </x:c>
      <x:c r="J37" s="28" t="str">
        <x:v>Enterprise AI Academy + Adoption System</x:v>
      </x:c>
      <x:c r="K37" s="28" t="str">
        <x:v>Research-only anonymous brief: role capability framework, AI academy, practice labs, champions, use-case library and measurable on-the-job adoption.</x:v>
      </x:c>
      <x:c r="L37" s="28" t="str">
        <x:v>private-asx-150-organisation-ai-academy-lead-ai-training-adoption-enablement</x:v>
      </x:c>
      <x:c r="M37" s="28" t="str">
        <x:v>B</x:v>
      </x:c>
      <x:c r="N37" s="28" t="str">
        <x:v>No</x:v>
      </x:c>
      <x:c r="O37" s="28" t="str">
        <x:v>Take a real business task and return the AI opportunity, workflow, controls, implementation steps and value measures.</x:v>
      </x:c>
    </x:row>
    <x:row r="38">
      <x:c r="A38" s="28" t="str">
        <x:v>empire group client (national law firm)</x:v>
      </x:c>
      <x:c r="B38" s="28" t="str">
        <x:v>Legal AI Lead</x:v>
      </x:c>
      <x:c r="C38" s="28" t="str">
        <x:v>Law Firm / Anonymous client</x:v>
      </x:c>
      <x:c r="D38" s="28" t="str">
        <x:v>Melbourne VIC</x:v>
      </x:c>
      <x:c r="E38" s="28" t="str">
        <x:v>Live</x:v>
      </x:c>
      <x:c r="F38" s="28" t="str">
        <x:v>2026-08-25</x:v>
      </x:c>
      <x:c r="G38" s="28" t="str">
        <x:v>SEEK / recruiter</x:v>
      </x:c>
      <x:c r="H38" s="28" t="str">
        <x:v>https://au.seek.com/legal-ai-jobs</x:v>
      </x:c>
      <x:c r="I38" s="28" t="str">
        <x:v>Lead AI strategy and adoption across a national law firm, including training, governance, legal innovation and workflow optimisation.</x:v>
      </x:c>
      <x:c r="J38" s="28" t="str">
        <x:v>National Law Firm Legal AI Operating System</x:v>
      </x:c>
      <x:c r="K38" s="28" t="str">
        <x:v>Research-only anonymous brief: legal workflow discovery, matter-safe AI guidance, agent/prompt library, lawyer training, governance and adoption/value tracking.</x:v>
      </x:c>
      <x:c r="L38" s="28" t="str">
        <x:v>empire-group-client-national-law-firm-legal-ai-lead</x:v>
      </x:c>
      <x:c r="M38" s="28" t="str">
        <x:v>B</x:v>
      </x:c>
      <x:c r="N38" s="28" t="str">
        <x:v>No</x:v>
      </x:c>
      <x:c r="O38" s="28" t="str">
        <x:v>Take a real business task and return the AI opportunity, workflow, controls, implementation steps and value measures.</x:v>
      </x:c>
    </x:row>
    <x:row r="39">
      <x:c r="A39" s="28" t="str">
        <x:v>empire group client (national law firm)</x:v>
      </x:c>
      <x:c r="B39" s="28" t="str">
        <x:v>Legal AI Engineer</x:v>
      </x:c>
      <x:c r="C39" s="28" t="str">
        <x:v>Law Firm / Anonymous client</x:v>
      </x:c>
      <x:c r="D39" s="28" t="str">
        <x:v>Sydney / Melbourne / Brisbane</x:v>
      </x:c>
      <x:c r="E39" s="28" t="str">
        <x:v>Live</x:v>
      </x:c>
      <x:c r="F39" s="28" t="str">
        <x:v>2026-08-25</x:v>
      </x:c>
      <x:c r="G39" s="28" t="str">
        <x:v>SEEK / recruiter</x:v>
      </x:c>
      <x:c r="H39" s="28" t="str">
        <x:v>https://au.seek.com/legal-ai-jobs</x:v>
      </x:c>
      <x:c r="I39" s="28" t="str">
        <x:v>Build AI-powered legal workflows, prompts and tools and support adoption and efficiency.</x:v>
      </x:c>
      <x:c r="J39" s="28" t="str">
        <x:v>Legal AI Workflow &amp; Agent Engineering Workbench</x:v>
      </x:c>
      <x:c r="K39" s="28" t="str">
        <x:v>Research-only anonymous brief: build, test, version and publish approved legal workflows/agents with governance, owners and user feedback.</x:v>
      </x:c>
      <x:c r="L39" s="28" t="str">
        <x:v>empire-group-client-national-law-firm-legal-ai-engineer</x:v>
      </x:c>
      <x:c r="M39" s="28" t="str">
        <x:v>B</x:v>
      </x:c>
      <x:c r="N39" s="28" t="str">
        <x:v>No</x:v>
      </x:c>
      <x:c r="O39" s="28" t="str">
        <x:v>Take a real business task and return the AI opportunity, workflow, controls, implementation steps and value measures.</x:v>
      </x:c>
    </x:row>
    <x:row r="40">
      <x:c r="A40" s="28" t="str">
        <x:v>empire group client (leading law firm)</x:v>
      </x:c>
      <x:c r="B40" s="28" t="str">
        <x:v>Technology Trainer x2</x:v>
      </x:c>
      <x:c r="C40" s="28" t="str">
        <x:v>Law Firm / Anonymous client</x:v>
      </x:c>
      <x:c r="D40" s="28" t="str">
        <x:v>Sydney NSW</x:v>
      </x:c>
      <x:c r="E40" s="28" t="str">
        <x:v>Recent / expiring</x:v>
      </x:c>
      <x:c r="F40" s="28" t="str">
        <x:v>2026-08-25</x:v>
      </x:c>
      <x:c r="G40" s="28" t="str">
        <x:v>SEEK / recruiter</x:v>
      </x:c>
      <x:c r="H40" s="28" t="str">
        <x:v>https://au.seek.com/trainee-ai-trainer-jobs/in-Sydney-NSW-2000</x:v>
      </x:c>
      <x:c r="I40" s="28" t="str">
        <x:v>Train Microsoft 365, AI and legal technology in a leading law firm.</x:v>
      </x:c>
      <x:c r="J40" s="28" t="str">
        <x:v>Legal Technology Training &amp; Support System</x:v>
      </x:c>
      <x:c r="K40" s="28" t="str">
        <x:v>Research-only anonymous brief: role-based legal tech learning, practice tasks, help desk, safe-use guidance and adoption evidence.</x:v>
      </x:c>
      <x:c r="L40" s="28" t="str">
        <x:v>empire-group-client-leading-law-firm-technology-trainer-x2</x:v>
      </x:c>
      <x:c r="M40" s="28" t="str">
        <x:v>C</x:v>
      </x:c>
      <x:c r="N40" s="28" t="str">
        <x:v>No</x:v>
      </x:c>
      <x:c r="O40" s="28" t="str">
        <x:v>Take a real business task and return the AI opportunity, workflow, controls, implementation steps and value measures.</x:v>
      </x:c>
    </x:row>
    <x:row r="41">
      <x:c r="A41" s="28" t="str">
        <x:v>Private commercial law firm</x:v>
      </x:c>
      <x:c r="B41" s="28" t="str">
        <x:v>Legal AI Lead</x:v>
      </x:c>
      <x:c r="C41" s="28" t="str">
        <x:v>Law Firm / Anonymous</x:v>
      </x:c>
      <x:c r="D41" s="28" t="str">
        <x:v>Melbourne VIC</x:v>
      </x:c>
      <x:c r="E41" s="28" t="str">
        <x:v>Live</x:v>
      </x:c>
      <x:c r="F41" s="28" t="str">
        <x:v>2026-08-25</x:v>
      </x:c>
      <x:c r="G41" s="28" t="str">
        <x:v>SEEK</x:v>
      </x:c>
      <x:c r="H41" s="28" t="str">
        <x:v>https://au.seek.com/ai-prompt-jobs/in-All-Australia</x:v>
      </x:c>
      <x:c r="I41" s="28" t="str">
        <x:v>Lead AI adoption and integration across a premier Australian commercial law firm.</x:v>
      </x:c>
      <x:c r="J41" s="28" t="str">
        <x:v>Commercial Law AI Adoption System</x:v>
      </x:c>
      <x:c r="K41" s="28" t="str">
        <x:v>Research-only anonymous brief: practice-group workflow discovery, legal AI coach, agent/prompt builder, governance, rollout and value tracking.</x:v>
      </x:c>
      <x:c r="L41" s="28" t="str">
        <x:v>private-commercial-law-firm-legal-ai-lead</x:v>
      </x:c>
      <x:c r="M41" s="28" t="str">
        <x:v>B</x:v>
      </x:c>
      <x:c r="N41" s="28" t="str">
        <x:v>No</x:v>
      </x:c>
      <x:c r="O41" s="28" t="str">
        <x:v>Take a real business task and return the AI opportunity, workflow, controls, implementation steps and value measures.</x:v>
      </x:c>
    </x:row>
    <x:row r="42">
      <x:c r="A42" s="28" t="str">
        <x:v>Talent client (government agency)</x:v>
      </x:c>
      <x:c r="B42" s="28" t="str">
        <x:v>AI Enablement Lead</x:v>
      </x:c>
      <x:c r="C42" s="28" t="str">
        <x:v>Government / Anonymous client</x:v>
      </x:c>
      <x:c r="D42" s="28" t="str">
        <x:v>Melbourne VIC / hybrid</x:v>
      </x:c>
      <x:c r="E42" s="28" t="str">
        <x:v>Recent / expiring</x:v>
      </x:c>
      <x:c r="F42" s="28" t="str">
        <x:v>2026-08-25</x:v>
      </x:c>
      <x:c r="G42" s="28" t="str">
        <x:v>SEEK / recruiter</x:v>
      </x:c>
      <x:c r="H42" s="28" t="str">
        <x:v>https://au.seek.com/AI-governance-jobs/in-All-Melbourne-VIC</x:v>
      </x:c>
      <x:c r="I42" s="28" t="str">
        <x:v>Establish and embed a safe, ethical and effective approach to AI while leading responsible AI strategy and adoption.</x:v>
      </x:c>
      <x:c r="J42" s="28" t="str">
        <x:v>Government Responsible AI Enablement System</x:v>
      </x:c>
      <x:c r="K42" s="28" t="str">
        <x:v>Research-only anonymous brief: policy, governance, readiness, staff guidance, use-case intake, approvals and adoption measurement.</x:v>
      </x:c>
      <x:c r="L42" s="28" t="str">
        <x:v>talent-client-government-agency-ai-enablement-lead</x:v>
      </x:c>
      <x:c r="M42" s="28" t="str">
        <x:v>C</x:v>
      </x:c>
      <x:c r="N42" s="28" t="str">
        <x:v>No</x:v>
      </x:c>
      <x:c r="O42" s="28" t="str">
        <x:v>Take a real business task and return the AI opportunity, workflow, controls, implementation steps and value measures.</x:v>
      </x:c>
    </x:row>
    <x:row r="43">
      <x:c r="A43" s="28" t="str">
        <x:v>Talent client</x:v>
      </x:c>
      <x:c r="B43" s="28" t="str">
        <x:v>AI Enablement Engineer</x:v>
      </x:c>
      <x:c r="C43" s="28" t="str">
        <x:v>Enterprise / Anonymous client</x:v>
      </x:c>
      <x:c r="D43" s="28" t="str">
        <x:v>Sydney NSW / hybrid</x:v>
      </x:c>
      <x:c r="E43" s="28" t="str">
        <x:v>Recent</x:v>
      </x:c>
      <x:c r="F43" s="28" t="str">
        <x:v>2026-08-25</x:v>
      </x:c>
      <x:c r="G43" s="28" t="str">
        <x:v>SEEK / recruiter</x:v>
      </x:c>
      <x:c r="H43" s="28" t="str">
        <x:v>https://au.seek.com/enablement-jobs/in-All-Sydney-NSW</x:v>
      </x:c>
      <x:c r="I43" s="28" t="str">
        <x:v>Build Microsoft Copilot, Power Platform and Azure AI solutions while driving enterprise AI adoption.</x:v>
      </x:c>
      <x:c r="J43" s="28" t="str">
        <x:v>Microsoft AI Enablement Engineering Workbench</x:v>
      </x:c>
      <x:c r="K43" s="28" t="str">
        <x:v>Research-only anonymous brief: discover use cases, build Copilot/Power Platform solutions, govern them, publish patterns and support adoption.</x:v>
      </x:c>
      <x:c r="L43" s="28" t="str">
        <x:v>talent-client-ai-enablement-engineer</x:v>
      </x:c>
      <x:c r="M43" s="28" t="str">
        <x:v>C</x:v>
      </x:c>
      <x:c r="N43" s="28" t="str">
        <x:v>No</x:v>
      </x:c>
      <x:c r="O43" s="28" t="str">
        <x:v>Take a real business task and return the AI opportunity, workflow, controls, implementation steps and value measures.</x:v>
      </x:c>
    </x:row>
  </x:sheetData>
  <x:dataValidations count="2">
    <x:dataValidation type="list" sqref="M2:M43">
      <x:formula1>"A,B,C"</x:formula1>
    </x:dataValidation>
    <x:dataValidation type="list" sqref="N2:N4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753051fabd42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8" hidden="0" customWidth="1"/>
    <x:col min="3" max="3" width="38" hidden="0" customWidth="1"/>
    <x:col min="4" max="4" width="62" hidden="0" customWidth="1"/>
    <x:col min="5" max="5" width="62" hidden="0" customWidth="1"/>
    <x:col min="6" max="6" width="58" hidden="0" customWidth="1"/>
    <x:col min="7" max="7" width="58" hidden="0" customWidth="1"/>
    <x:col min="8" max="8" width="58" hidden="0" customWidth="1"/>
    <x:col min="9" max="9" width="50" hidden="0" customWidth="1"/>
  </x:cols>
  <x:sheetData>
    <x:row r="1">
      <x:c r="A1" s="17" t="str">
        <x:v>Company</x:v>
      </x:c>
      <x:c r="B1" s="17" t="str">
        <x:v>Role</x:v>
      </x:c>
      <x:c r="C1" s="17" t="str">
        <x:v>Solution page title</x:v>
      </x:c>
      <x:c r="D1" s="17" t="str">
        <x:v>Our Agent has outlined this</x:v>
      </x:c>
      <x:c r="E1" s="17" t="str">
        <x:v>Core tools on page</x:v>
      </x:c>
      <x:c r="F1" s="17" t="str">
        <x:v>First real interaction</x:v>
      </x:c>
      <x:c r="G1" s="17" t="str">
        <x:v>Human judgement we keep visible</x:v>
      </x:c>
      <x:c r="H1" s="17" t="str">
        <x:v>Why this page should impress</x:v>
      </x:c>
      <x:c r="I1" s="17" t="str">
        <x:v>Source</x:v>
      </x:c>
    </x:row>
    <x:row r="2">
      <x:c r="A2" s="28" t="str">
        <x:v>ABC</x:v>
      </x:c>
      <x:c r="B2" s="28" t="str">
        <x:v>AI Adoption Specialist</x:v>
      </x:c>
      <x:c r="C2" s="28" t="str">
        <x:v>ABC AI Adoption System</x:v>
      </x:c>
      <x:c r="D2" s="28" t="str">
        <x:v>Based only on the public role brief, the system would focus on: A workforce-facing system that helps editorial and business teams turn real work into safe AI-assisted practices while keeping policy and human judgement visible.</x:v>
      </x:c>
      <x:c r="E2" s="28" t="str">
        <x:v>Work Discovery Agent | Workflow Architect | Role AI Coach | AI Help Desk | Learning &amp; Practice Studio | Governance &amp; Safe-Use Agent | Approved Use-Case Library | Adoption Intelligence | Value &amp; ROI Engine | Change &amp; Communications Agent</x:v>
      </x:c>
      <x:c r="F2" s="28" t="str">
        <x:v>Analyse a real editorial/business task and return a safe repeatable AI-assisted workflow.</x:v>
      </x:c>
      <x:c r="G2" s="28" t="str">
        <x:v>Public-interest, policy, ethical and final service decisions remain with accountable staff.</x:v>
      </x:c>
      <x:c r="H2" s="28" t="str">
        <x:v>They see their exact advertised role, their stated problem translated into ABC AI Adoption System, and a real tool that can act on a real piece of work instead of a generic portfolio.</x:v>
      </x:c>
      <x:c r="I2" s="28" t="str">
        <x:v>https://careers.abc.net.au/jobs/ai-adoption-specialist-brisbane-qld-australia-melbourne-vic-longreach-sydney-nsw-adelaide-sa-port-pirie-port-lincoln-renmark-mount-gambier-victor-harbor-whyalla-canberra-act-broken-hill-bega-</x:v>
      </x:c>
    </x:row>
    <x:row r="3">
      <x:c r="A3" s="28" t="str">
        <x:v>The Arnott's Group</x:v>
      </x:c>
      <x:c r="B3" s="28" t="str">
        <x:v>AI Enablement and Adoption Lead</x:v>
      </x:c>
      <x:c r="C3" s="28" t="str">
        <x:v>Arnott's AI Work Simplification System</x:v>
      </x:c>
      <x:c r="D3" s="28" t="str">
        <x:v>Based only on the public role brief, the system would focus on: A practical business-improvement engine for operations, finance, people and commercial teams: find friction, prioritise it, build a safer AI workflow and measure the reduction in manual work.</x:v>
      </x:c>
      <x:c r="E3" s="28" t="str">
        <x:v>Work Discovery Agent | AI Opportunity Prioritiser | Workflow Architect | Agent Builder | Role AI Coach | Learning &amp; Practice Studio | Governance &amp; Safe-Use Agent | AI Champions Hub | Adoption Intelligence | Value &amp; ROI Engine | Change &amp; Communications Agent</x:v>
      </x:c>
      <x:c r="F3" s="28" t="str">
        <x:v>Take a real business task and return the AI opportunity, workflow, controls, implementation steps and value measures.</x:v>
      </x:c>
      <x:c r="G3" s="28" t="str">
        <x:v>The system assists the work; accountable business decisions, exceptions and final approval stay with people.</x:v>
      </x:c>
      <x:c r="H3" s="28" t="str">
        <x:v>They see their exact advertised role, their stated problem translated into Arnott's AI Work Simplification System, and a real tool that can act on a real piece of work instead of a generic portfolio.</x:v>
      </x:c>
      <x:c r="I3" s="28" t="str">
        <x:v>https://careers.arnotts.com/job/North-Strathfield-AI-Enablement-and-Adoption-Lead-NSW-2137/1365156066/</x:v>
      </x:c>
    </x:row>
    <x:row r="4">
      <x:c r="A4" s="28" t="str">
        <x:v>Findex</x:v>
      </x:c>
      <x:c r="B4" s="28" t="str">
        <x:v>AI &amp; Digital Tools Adoption Lead</x:v>
      </x:c>
      <x:c r="C4" s="28" t="str">
        <x:v>Findex Client-Team AI Adoption System</x:v>
      </x:c>
      <x:c r="D4" s="28" t="str">
        <x:v>Based only on the public role brief, the system would focus on: A professional-services system organised around Audit, Tax, Advisory and Wealth work: discover execution-heavy tasks, create approved reusable workflows and show where client-facing value is moving.</x:v>
      </x:c>
      <x:c r="E4" s="28" t="str">
        <x:v>Work Discovery Agent | AI Opportunity Prioritiser | Workflow Architect | Agent Builder | Role AI Coach | AI Help Desk | Governance &amp; Safe-Use Agent | Approved Use-Case Library | AI Champions Hub | Adoption Intelligence | Value &amp; ROI Engine | AI Workforce Registry | Executive AI Briefing Agent</x:v>
      </x:c>
      <x:c r="F4" s="28" t="str">
        <x:v>Take a real business task and return the AI opportunity, workflow, controls, implementation steps and value measures.</x:v>
      </x:c>
      <x:c r="G4" s="28" t="str">
        <x:v>The system assists the work; accountable business decisions, exceptions and final approval stay with people.</x:v>
      </x:c>
      <x:c r="H4" s="28" t="str">
        <x:v>They see their exact advertised role, their stated problem translated into Findex Client-Team AI Adoption System, and a real tool that can act on a real piece of work instead of a generic portfolio.</x:v>
      </x:c>
      <x:c r="I4" s="28" t="str">
        <x:v>https://builtin.com/job/ai-digital-tools-adoption-lead/10362562</x:v>
      </x:c>
    </x:row>
    <x:row r="5">
      <x:c r="A5" s="28" t="str">
        <x:v>SSI</x:v>
      </x:c>
      <x:c r="B5" s="28" t="str">
        <x:v>AI Enablement and Adoption Lead</x:v>
      </x:c>
      <x:c r="C5" s="28" t="str">
        <x:v>SSI Responsible AI Capability System</x:v>
      </x:c>
      <x:c r="D5" s="28" t="str">
        <x:v>Based only on the public role brief, the system would focus on: A people-first adoption system that makes safe AI guidance usable for frontline and corporate roles, especially where sensitive client information and responsible use matter.</x:v>
      </x:c>
      <x:c r="E5" s="28" t="str">
        <x:v>Role AI Coach | AI Help Desk | Learning &amp; Practice Studio | Governance &amp; Safe-Use Agent | Approved Use-Case Library | AI Champions Hub | Adoption Intelligence | Value &amp; ROI Engine | Change &amp; Communications Agent</x:v>
      </x:c>
      <x:c r="F5" s="28" t="str">
        <x:v>Take a real business task and return the AI opportunity, workflow, controls, implementation steps and value measures.</x:v>
      </x:c>
      <x:c r="G5" s="28" t="str">
        <x:v>The system assists the work; accountable business decisions, exceptions and final approval stay with people.</x:v>
      </x:c>
      <x:c r="H5" s="28" t="str">
        <x:v>They see their exact advertised role, their stated problem translated into SSI Responsible AI Capability System, and a real tool that can act on a real piece of work instead of a generic portfolio.</x:v>
      </x:c>
      <x:c r="I5" s="28" t="str">
        <x:v>https://au.seek.com/enablement-jobs/in-All-Sydney-NSW</x:v>
      </x:c>
    </x:row>
    <x:row r="6">
      <x:c r="A6" s="28" t="str">
        <x:v>Georgiou Group</x:v>
      </x:c>
      <x:c r="B6" s="28" t="str">
        <x:v>AI Enablement Lead</x:v>
      </x:c>
      <x:c r="C6" s="28" t="str">
        <x:v>Georgiou AI Delivery &amp; Enablement System</x:v>
      </x:c>
      <x:c r="D6" s="28" t="str">
        <x:v>Based only on the public role brief, the system would focus on: A project-focused system that turns construction and corporate process opportunities into governed AI workflows with owners, approvals, rollout tracking and measurable impact.</x:v>
      </x:c>
      <x:c r="E6" s="28" t="str">
        <x:v>Work Discovery Agent | AI Opportunity Prioritiser | Workflow Architect | Agent Builder | Governance &amp; Safe-Use Agent | Learning &amp; Practice Studio | Implementation Control Room | Adoption Intelligence | Value &amp; ROI Engine | AI Workforce Registry | Change &amp; Communications Agent</x:v>
      </x:c>
      <x:c r="F6" s="28" t="str">
        <x:v>Take a real business task and return the AI opportunity, workflow, controls, implementation steps and value measures.</x:v>
      </x:c>
      <x:c r="G6" s="28" t="str">
        <x:v>The system assists the work; accountable business decisions, exceptions and final approval stay with people.</x:v>
      </x:c>
      <x:c r="H6" s="28" t="str">
        <x:v>They see their exact advertised role, their stated problem translated into Georgiou AI Delivery &amp; Enablement System, and a real tool that can act on a real piece of work instead of a generic portfolio.</x:v>
      </x:c>
      <x:c r="I6" s="28" t="str">
        <x:v>https://au.seek.com/enablement-jobs/in-All-Sydney-NSW</x:v>
      </x:c>
    </x:row>
    <x:row r="7">
      <x:c r="A7" s="28" t="str">
        <x:v>Novigi</x:v>
      </x:c>
      <x:c r="B7" s="28" t="str">
        <x:v>AI Adoption Coach</x:v>
      </x:c>
      <x:c r="C7" s="28" t="str">
        <x:v>Novigi Embedded AI Coaching System</x:v>
      </x:c>
      <x:c r="D7" s="28" t="str">
        <x:v>Based only on the public role brief, the system would focus on: A coach that starts with the employee's actual task, redesigns the workflow with them, records the winning pattern and follows whether the behaviour stuck.</x:v>
      </x:c>
      <x:c r="E7" s="28" t="str">
        <x:v>Work Discovery Agent | Workflow Architect | Role AI Coach | AI Help Desk | Learning &amp; Practice Studio | Approved Use-Case Library | AI Champions Hub | Adoption Intelligence | Value &amp; ROI Engine</x:v>
      </x:c>
      <x:c r="F7" s="28" t="str">
        <x:v>Take a real business task and return the AI opportunity, workflow, controls, implementation steps and value measures.</x:v>
      </x:c>
      <x:c r="G7" s="28" t="str">
        <x:v>Risk acceptance, regulatory interpretation, customer-impact decisions and final approvals stay with accountable humans.</x:v>
      </x:c>
      <x:c r="H7" s="28" t="str">
        <x:v>They see their exact advertised role, their stated problem translated into Novigi Embedded AI Coaching System, and a real tool that can act on a real piece of work instead of a generic portfolio.</x:v>
      </x:c>
      <x:c r="I7" s="28" t="str">
        <x:v>https://au.seek.com/ai-trainer-jobs/in-All-Australia</x:v>
      </x:c>
    </x:row>
    <x:row r="8">
      <x:c r="A8" s="28" t="str">
        <x:v>Novigi</x:v>
      </x:c>
      <x:c r="B8" s="28" t="str">
        <x:v>AI Adoption Programme Co-ordinator</x:v>
      </x:c>
      <x:c r="C8" s="28" t="str">
        <x:v>Novigi AI Adoption Programme Control Room</x:v>
      </x:c>
      <x:c r="D8" s="28" t="str">
        <x:v>Based only on the public role brief, the system would focus on: A live operating board for adoption: teams, champions, use cases, blockers, sessions, actions, workflow rollouts and value checkpoints.</x:v>
      </x:c>
      <x:c r="E8" s="28" t="str">
        <x:v>AI Opportunity Prioritiser | AI Champions Hub | Implementation Control Room | Adoption Intelligence | Value &amp; ROI Engine | Change &amp; Communications Agent | Executive AI Briefing Agent</x:v>
      </x:c>
      <x:c r="F8" s="28" t="str">
        <x:v>Take a real business task and return the AI opportunity, workflow, controls, implementation steps and value measures.</x:v>
      </x:c>
      <x:c r="G8" s="28" t="str">
        <x:v>Risk acceptance, regulatory interpretation, customer-impact decisions and final approvals stay with accountable humans.</x:v>
      </x:c>
      <x:c r="H8" s="28" t="str">
        <x:v>They see their exact advertised role, their stated problem translated into Novigi AI Adoption Programme Control Room, and a real tool that can act on a real piece of work instead of a generic portfolio.</x:v>
      </x:c>
      <x:c r="I8" s="28" t="str">
        <x:v>https://au.seek.com/AI-Adoption-jobs/in-All-Sydney-NSW</x:v>
      </x:c>
    </x:row>
    <x:row r="9">
      <x:c r="A9" s="28" t="str">
        <x:v>Commonwealth Bank</x:v>
      </x:c>
      <x:c r="B9" s="28" t="str">
        <x:v>Chapter Lead - AI Enablement &amp; Execution</x:v>
      </x:c>
      <x:c r="C9" s="28" t="str">
        <x:v>CommBank Change &amp; Delivery AI Enablement System</x:v>
      </x:c>
      <x:c r="D9" s="28" t="str">
        <x:v>Based only on the public role brief, the system would focus on: A system specifically for Change &amp; Delivery that turns planning, reporting, communications, insights and stakeholder work into governed AI-enabled practices and capability paths.</x:v>
      </x:c>
      <x:c r="E9" s="28" t="str">
        <x:v>Work Discovery Agent | AI Opportunity Prioritiser | Workflow Architect | Role AI Coach | Learning &amp; Practice Studio | Governance &amp; Safe-Use Agent | Approved Use-Case Library | AI Champions Hub | Adoption Intelligence | Value &amp; ROI Engine | Change &amp; Communications Agent | Executive AI Briefing Agent</x:v>
      </x:c>
      <x:c r="F9" s="28" t="str">
        <x:v>Take a business/change workflow and return opportunity, controls, workflow design and measurable outcomes.</x:v>
      </x:c>
      <x:c r="G9" s="28" t="str">
        <x:v>Risk acceptance, regulatory interpretation, customer-impact decisions and final approvals stay with accountable humans.</x:v>
      </x:c>
      <x:c r="H9" s="28" t="str">
        <x:v>They see their exact advertised role, their stated problem translated into CommBank Change &amp; Delivery AI Enablement System, and a real tool that can act on a real piece of work instead of a generic portfolio.</x:v>
      </x:c>
      <x:c r="I9" s="28" t="str">
        <x:v>https://cba.wd3.myworkdayjobs.com/en-US/CommBank_Careers/job/Chapter-Lead---AI-Enablement---Execution_REQ261712</x:v>
      </x:c>
    </x:row>
    <x:row r="10">
      <x:c r="A10" s="28" t="str">
        <x:v>Insignia Financial</x:v>
      </x:c>
      <x:c r="B10" s="28" t="str">
        <x:v>Head of AI Adoption &amp; Transformation</x:v>
      </x:c>
      <x:c r="C10" s="28" t="str">
        <x:v>Insignia Human + AI Workforce Operating System</x:v>
      </x:c>
      <x:c r="D10" s="28" t="str">
        <x:v>Based only on the public role brief, the system would focus on: A future-work system: map human roles, identify AI-capable work, design new operating models and maintain a registry of digital workers with human supervisors and measurable outcomes.</x:v>
      </x:c>
      <x:c r="E10" s="28" t="str">
        <x:v>Work Discovery Agent | AI Opportunity Prioritiser | Workflow Architect | Agent Builder | Role AI Coach | Governance &amp; Safe-Use Agent | Adoption Intelligence | Value &amp; ROI Engine | AI Workforce Registry | Change &amp; Communications Agent | Executive AI Briefing Agent | AI Tool &amp; Capability Radar</x:v>
      </x:c>
      <x:c r="F10" s="28" t="str">
        <x:v>Take a real business task and return the AI opportunity, workflow, controls, implementation steps and value measures.</x:v>
      </x:c>
      <x:c r="G10" s="28" t="str">
        <x:v>Risk acceptance, regulatory interpretation, customer-impact decisions and final approvals stay with accountable humans.</x:v>
      </x:c>
      <x:c r="H10" s="28" t="str">
        <x:v>They see their exact advertised role, their stated problem translated into Insignia Human + AI Workforce Operating System, and a real tool that can act on a real piece of work instead of a generic portfolio.</x:v>
      </x:c>
      <x:c r="I10" s="28" t="str">
        <x:v>https://careers.insigniafinancial.com.au/job/SYDNEY-Head-of-AI-Adoption-%26-Transformation-NSW-2000/1365289566/</x:v>
      </x:c>
    </x:row>
    <x:row r="11">
      <x:c r="A11" s="28" t="str">
        <x:v>Bellroy</x:v>
      </x:c>
      <x:c r="B11" s="28" t="str">
        <x:v>AI Enablement Lead</x:v>
      </x:c>
      <x:c r="C11" s="28" t="str">
        <x:v>Bellroy AI Effectiveness System</x:v>
      </x:c>
      <x:c r="D11" s="28" t="str">
        <x:v>Based only on the public role brief, the system would focus on: A cross-functional AI workbench that can sit with any team, diagnose the task, decide whether AI is even the right tool, build reusable workflows and show licence cost versus real value.</x:v>
      </x:c>
      <x:c r="E11" s="28" t="str">
        <x:v>Work Discovery Agent | Workflow Architect | Agent Builder | Role AI Coach | AI Help Desk | Learning &amp; Practice Studio | Governance &amp; Safe-Use Agent | Approved Use-Case Library | Value &amp; ROI Engine | AI Tool &amp; Licence Optimiser | AI Tool &amp; Capability Radar</x:v>
      </x:c>
      <x:c r="F11" s="28" t="str">
        <x:v>Take a real business task and return the AI opportunity, workflow, controls, implementation steps and value measures.</x:v>
      </x:c>
      <x:c r="G11" s="28" t="str">
        <x:v>The system assists the work; accountable business decisions, exceptions and final approval stay with people.</x:v>
      </x:c>
      <x:c r="H11" s="28" t="str">
        <x:v>They see their exact advertised role, their stated problem translated into Bellroy AI Effectiveness System, and a real tool that can act on a real piece of work instead of a generic portfolio.</x:v>
      </x:c>
      <x:c r="I11" s="28" t="str">
        <x:v>https://job-boards.greenhouse.io/bellroy/jobs/8104479</x:v>
      </x:c>
    </x:row>
    <x:row r="12">
      <x:c r="A12" s="28" t="str">
        <x:v>CBRE Asia Pacific</x:v>
      </x:c>
      <x:c r="B12" s="28" t="str">
        <x:v>AI Adoption Lead</x:v>
      </x:c>
      <x:c r="C12" s="28" t="str">
        <x:v>CBRE Pacific AI Adoption Field System</x:v>
      </x:c>
      <x:c r="D12" s="28" t="str">
        <x:v>Based only on the public role brief, the system would focus on: A field-facing adoption layer for property and advisory teams: capture real use cases, coach teams, publish working patterns, collect friction and close the loop to the AI roadmap.</x:v>
      </x:c>
      <x:c r="E12" s="28" t="str">
        <x:v>Work Discovery Agent | Workflow Architect | Role AI Coach | AI Help Desk | Learning &amp; Practice Studio | Approved Use-Case Library | Adoption Intelligence | Value &amp; ROI Engine | Change &amp; Communications Agent</x:v>
      </x:c>
      <x:c r="F12" s="28" t="str">
        <x:v>Take a real business task and return the AI opportunity, workflow, controls, implementation steps and value measures.</x:v>
      </x:c>
      <x:c r="G12" s="28" t="str">
        <x:v>The system assists the work; accountable business decisions, exceptions and final approval stay with people.</x:v>
      </x:c>
      <x:c r="H12" s="28" t="str">
        <x:v>They see their exact advertised role, their stated problem translated into CBRE Pacific AI Adoption Field System, and a real tool that can act on a real piece of work instead of a generic portfolio.</x:v>
      </x:c>
      <x:c r="I12" s="28" t="str">
        <x:v>https://au.linkedin.com/jobs/view/ai-adoption-lead-at-cbre-asia-pacific-4452980768</x:v>
      </x:c>
    </x:row>
    <x:row r="13">
      <x:c r="A13" s="28" t="str">
        <x:v>Deloitte Australia</x:v>
      </x:c>
      <x:c r="B13" s="28" t="str">
        <x:v>AI Value &amp; Adoption Lead - Director</x:v>
      </x:c>
      <x:c r="C13" s="28" t="str">
        <x:v>Deloitte AI Value Realisation System</x:v>
      </x:c>
      <x:c r="D13" s="28" t="str">
        <x:v>Based only on the public role brief, the system would focus on: A portfolio-level control system that links every AI initiative to a value hypothesis, accountable owner, adoption evidence, realised benefit, risk and next executive decision.</x:v>
      </x:c>
      <x:c r="E13" s="28" t="str">
        <x:v>Work Discovery Agent | AI Opportunity Prioritiser | Implementation Control Room | Adoption Intelligence | Value &amp; ROI Engine | Executive AI Briefing Agent | Vendor &amp; Tool Evaluation Agent | AI Tool &amp; Capability Radar</x:v>
      </x:c>
      <x:c r="F13" s="28" t="str">
        <x:v>Take a real business task and return the AI opportunity, workflow, controls, implementation steps and value measures.</x:v>
      </x:c>
      <x:c r="G13" s="28" t="str">
        <x:v>The system assists the work; accountable business decisions, exceptions and final approval stay with people.</x:v>
      </x:c>
      <x:c r="H13" s="28" t="str">
        <x:v>They see their exact advertised role, their stated problem translated into Deloitte AI Value Realisation System, and a real tool that can act on a real piece of work instead of a generic portfolio.</x:v>
      </x:c>
      <x:c r="I13" s="28" t="str">
        <x:v>https://jobs.deloitte.com.au/job/Melbourne-AI-Value-%26-Adoption-Lead-Director-VIC/1366035966/</x:v>
      </x:c>
    </x:row>
    <x:row r="14">
      <x:c r="A14" s="28" t="str">
        <x:v>David Jones</x:v>
      </x:c>
      <x:c r="B14" s="28" t="str">
        <x:v>AI Capability &amp; Enablement Lead</x:v>
      </x:c>
      <x:c r="C14" s="28" t="str">
        <x:v>David Jones Workforce AI Capability System</x:v>
      </x:c>
      <x:c r="D14" s="28" t="str">
        <x:v>Based only on the public role brief, the system would focus on: A role-based capability system with different AI pathways for stores, support office, merchandising, people teams and executives, connected to real work and measured adoption.</x:v>
      </x:c>
      <x:c r="E14" s="28" t="str">
        <x:v>Work Discovery Agent | Role AI Coach | Learning &amp; Practice Studio | Approved Use-Case Library | AI Champions Hub | Adoption Intelligence | Value &amp; ROI Engine | Change &amp; Communications Agent</x:v>
      </x:c>
      <x:c r="F14" s="28" t="str">
        <x:v>Take a role/task from store or support office and return a practical learning/workflow path.</x:v>
      </x:c>
      <x:c r="G14" s="28" t="str">
        <x:v>The system assists the work; accountable business decisions, exceptions and final approval stay with people.</x:v>
      </x:c>
      <x:c r="H14" s="28" t="str">
        <x:v>They see their exact advertised role, their stated problem translated into David Jones Workforce AI Capability System, and a real tool that can act on a real piece of work instead of a generic portfolio.</x:v>
      </x:c>
      <x:c r="I14" s="28" t="str">
        <x:v>https://au.indeed.com/viewjob?jk=148ec76e4d12e141</x:v>
      </x:c>
    </x:row>
    <x:row r="15">
      <x:c r="A15" s="28" t="str">
        <x:v>Techtronic Industries</x:v>
      </x:c>
      <x:c r="B15" s="28" t="str">
        <x:v>AI Governance &amp; Enablement Lead ANZ</x:v>
      </x:c>
      <x:c r="C15" s="28" t="str">
        <x:v>TTI ANZ AI Governance &amp; Enablement Control Plane</x:v>
      </x:c>
      <x:c r="D15" s="28" t="str">
        <x:v>Based only on the public role brief, the system would focus on: A governed use-case register that moves AI ideas from business request through risk/benefit assessment, approval, enablement, deployment, ownership and measurable value.</x:v>
      </x:c>
      <x:c r="E15" s="28" t="str">
        <x:v>Work Discovery Agent | AI Opportunity Prioritiser | Governance &amp; Safe-Use Agent | Implementation Control Room | Learning &amp; Practice Studio | AI Champions Hub | Adoption Intelligence | Value &amp; ROI Engine | AI Workforce Registry | Executive AI Briefing Agent</x:v>
      </x:c>
      <x:c r="F15" s="28" t="str">
        <x:v>Take a real business task and return the AI opportunity, workflow, controls, implementation steps and value measures.</x:v>
      </x:c>
      <x:c r="G15" s="28" t="str">
        <x:v>The system assists the work; accountable business decisions, exceptions and final approval stay with people.</x:v>
      </x:c>
      <x:c r="H15" s="28" t="str">
        <x:v>They see their exact advertised role, their stated problem translated into TTI ANZ AI Governance &amp; Enablement Control Plane, and a real tool that can act on a real piece of work instead of a generic portfolio.</x:v>
      </x:c>
      <x:c r="I15" s="28" t="str">
        <x:v>https://au.seek.com/AI-governance-jobs/in-All-Melbourne-VIC</x:v>
      </x:c>
    </x:row>
    <x:row r="16">
      <x:c r="A16" s="28" t="str">
        <x:v>Insentra</x:v>
      </x:c>
      <x:c r="B16" s="28" t="str">
        <x:v>AI Adoption Lead</x:v>
      </x:c>
      <x:c r="C16" s="28" t="str">
        <x:v>Insentra AI Momentum Adoption Control System</x:v>
      </x:c>
      <x:c r="D16" s="28" t="str">
        <x:v>Based only on the public role brief, the system would focus on: A client-facing system that keeps executive narrative, opportunity pipeline, champions, behaviours, interventions and measurable outcomes connected across the whole adoption programme.</x:v>
      </x:c>
      <x:c r="E16" s="28" t="str">
        <x:v>Work Discovery Agent | AI Opportunity Prioritiser | AI Champions Hub | Implementation Control Room | Adoption Intelligence | Value &amp; ROI Engine | Change &amp; Communications Agent | Executive AI Briefing Agent</x:v>
      </x:c>
      <x:c r="F16" s="28" t="str">
        <x:v>Take a real business task and return the AI opportunity, workflow, controls, implementation steps and value measures.</x:v>
      </x:c>
      <x:c r="G16" s="28" t="str">
        <x:v>The system assists the work; accountable business decisions, exceptions and final approval stay with people.</x:v>
      </x:c>
      <x:c r="H16" s="28" t="str">
        <x:v>They see their exact advertised role, their stated problem translated into Insentra AI Momentum Adoption Control System, and a real tool that can act on a real piece of work instead of a generic portfolio.</x:v>
      </x:c>
      <x:c r="I16" s="28" t="str">
        <x:v>https://www.insentragroup.com/us/careers/open-opportunities/</x:v>
      </x:c>
    </x:row>
    <x:row r="17">
      <x:c r="A17" s="28" t="str">
        <x:v>Icon Group</x:v>
      </x:c>
      <x:c r="B17" s="28" t="str">
        <x:v>Project Trainer - National Heidi AI Adoption</x:v>
      </x:c>
      <x:c r="C17" s="28" t="str">
        <x:v>Icon Heidi AI National Adoption System</x:v>
      </x:c>
      <x:c r="D17" s="28" t="str">
        <x:v>Based only on the public role brief, the system would focus on: A site-by-site clinical adoption system covering readiness, role training, workflow practice, go-live support, issue capture, escalation and adoption outcomes without pretending clinical systems are connected when they are not.</x:v>
      </x:c>
      <x:c r="E17" s="28" t="str">
        <x:v>Learning &amp; Practice Studio | Role AI Coach | AI Help Desk | Implementation Control Room | Adoption Intelligence | Value &amp; ROI Engine | Change &amp; Communications Agent</x:v>
      </x:c>
      <x:c r="F17" s="28" t="str">
        <x:v>Take a real clinical/admin workflow and generate a training, go-live and support plan without making clinical decisions.</x:v>
      </x:c>
      <x:c r="G17" s="28" t="str">
        <x:v>Clinical judgement and patient-care decisions stay human; the system supports training, workflow and adoption only.</x:v>
      </x:c>
      <x:c r="H17" s="28" t="str">
        <x:v>They see their exact advertised role, their stated problem translated into Icon Heidi AI National Adoption System, and a real tool that can act on a real piece of work instead of a generic portfolio.</x:v>
      </x:c>
      <x:c r="I17" s="28" t="str">
        <x:v>https://icongroup.global/en/position/project-trainer-national-heidi-ai-adoption-fixed-term-project-role-1114830/</x:v>
      </x:c>
    </x:row>
    <x:row r="18">
      <x:c r="A18" s="28" t="str">
        <x:v>MinterEllison</x:v>
      </x:c>
      <x:c r="B18" s="28" t="str">
        <x:v>Senior Manager Optimisation &amp; AI Enablement</x:v>
      </x:c>
      <x:c r="C18" s="28" t="str">
        <x:v>MinterEllison People Services AI Optimisation System</x:v>
      </x:c>
      <x:c r="D18" s="28" t="str">
        <x:v>Based only on the public role brief, the system would focus on: A people-operations workflow engine that identifies repetitive HR/service work, redesigns it with AI and automation, sets quality controls and measures service improvement.</x:v>
      </x:c>
      <x:c r="E18" s="28" t="str">
        <x:v>Work Discovery Agent | AI Opportunity Prioritiser | Workflow Architect | Agent Builder | Governance &amp; Safe-Use Agent | Implementation Control Room | Adoption Intelligence | Value &amp; ROI Engine</x:v>
      </x:c>
      <x:c r="F18" s="28" t="str">
        <x:v>Take a real business task and return the AI opportunity, workflow, controls, implementation steps and value measures.</x:v>
      </x:c>
      <x:c r="G18" s="28" t="str">
        <x:v>Legal judgement, client/matter context, confidentiality decisions and final professional review stay human.</x:v>
      </x:c>
      <x:c r="H18" s="28" t="str">
        <x:v>They see their exact advertised role, their stated problem translated into MinterEllison People Services AI Optimisation System, and a real tool that can act on a real piece of work instead of a generic portfolio.</x:v>
      </x:c>
      <x:c r="I18" s="28" t="str">
        <x:v>https://au.seek.com/enablement-jobs/in-All-Sydney-NSW</x:v>
      </x:c>
    </x:row>
    <x:row r="19">
      <x:c r="A19" s="28" t="str">
        <x:v>Thomsons Lawyers</x:v>
      </x:c>
      <x:c r="B19" s="28" t="str">
        <x:v>Technology &amp; AI Trainer</x:v>
      </x:c>
      <x:c r="C19" s="28" t="str">
        <x:v>Thomsons Legal AI Learning &amp; Support System</x:v>
      </x:c>
      <x:c r="D19" s="28" t="str">
        <x:v>Based only on the public role brief, the system would focus on: A lawyer-facing coach and practice library built around legal research, drafting, document automation, Microsoft tools and safe-use guidance.</x:v>
      </x:c>
      <x:c r="E19" s="28" t="str">
        <x:v>Role AI Coach | AI Help Desk | Learning &amp; Practice Studio | Governance &amp; Safe-Use Agent | Approved Use-Case Library | Adoption Intelligence</x:v>
      </x:c>
      <x:c r="F19" s="28" t="str">
        <x:v>Take a legal workflow and return a matter-safe AI workflow, human review points and reusable guidance.</x:v>
      </x:c>
      <x:c r="G19" s="28" t="str">
        <x:v>Legal judgement, client/matter context, confidentiality decisions and final professional review stay human.</x:v>
      </x:c>
      <x:c r="H19" s="28" t="str">
        <x:v>They see their exact advertised role, their stated problem translated into Thomsons Legal AI Learning &amp; Support System, and a real tool that can act on a real piece of work instead of a generic portfolio.</x:v>
      </x:c>
      <x:c r="I19" s="28" t="str">
        <x:v>https://au.seek.com/ai-trainer-jobs/in-All-Australia</x:v>
      </x:c>
    </x:row>
    <x:row r="20">
      <x:c r="A20" s="28" t="str">
        <x:v>Team 400</x:v>
      </x:c>
      <x:c r="B20" s="28" t="str">
        <x:v>AI Trainer &amp; AI Agent Consultant</x:v>
      </x:c>
      <x:c r="C20" s="28" t="str">
        <x:v>Team 400 Agent Delivery &amp; Adoption Workbench</x:v>
      </x:c>
      <x:c r="D20" s="28" t="str">
        <x:v>Based only on the public role brief, the system would focus on: A consultant workbench that moves from client process interview to working agent design, training plan, adoption support and value evidence.</x:v>
      </x:c>
      <x:c r="E20" s="28" t="str">
        <x:v>Work Discovery Agent | Workflow Architect | Agent Builder | Learning &amp; Practice Studio | Role AI Coach | Implementation Control Room | Adoption Intelligence | Value &amp; ROI Engine</x:v>
      </x:c>
      <x:c r="F20" s="28" t="str">
        <x:v>Take a real business task and return the AI opportunity, workflow, controls, implementation steps and value measures.</x:v>
      </x:c>
      <x:c r="G20" s="28" t="str">
        <x:v>The system assists the work; accountable business decisions, exceptions and final approval stay with people.</x:v>
      </x:c>
      <x:c r="H20" s="28" t="str">
        <x:v>They see their exact advertised role, their stated problem translated into Team 400 Agent Delivery &amp; Adoption Workbench, and a real tool that can act on a real piece of work instead of a generic portfolio.</x:v>
      </x:c>
      <x:c r="I20" s="28" t="str">
        <x:v>https://au.seek.com/ai-trainer-jobs/in-All-Australia</x:v>
      </x:c>
    </x:row>
    <x:row r="21">
      <x:c r="A21" s="28" t="str">
        <x:v>Epiphany Training + Consulting</x:v>
      </x:c>
      <x:c r="B21" s="28" t="str">
        <x:v>AI Consultant</x:v>
      </x:c>
      <x:c r="C21" s="28" t="str">
        <x:v>Epiphany Client AI Learning Studio</x:v>
      </x:c>
      <x:c r="D21" s="28" t="str">
        <x:v>Based only on the public role brief, the system would focus on: A system that converts a client's roles and actual work into tailored workshops, practice tasks, safe-use guidance and post-training adoption evidence.</x:v>
      </x:c>
      <x:c r="E21" s="28" t="str">
        <x:v>Work Discovery Agent | Learning &amp; Practice Studio | Role AI Coach | Governance &amp; Safe-Use Agent | Approved Use-Case Library | Adoption Intelligence | Value &amp; ROI Engine</x:v>
      </x:c>
      <x:c r="F21" s="28" t="str">
        <x:v>Take a real business task and return the AI opportunity, workflow, controls, implementation steps and value measures.</x:v>
      </x:c>
      <x:c r="G21" s="28" t="str">
        <x:v>The system assists the work; accountable business decisions, exceptions and final approval stay with people.</x:v>
      </x:c>
      <x:c r="H21" s="28" t="str">
        <x:v>They see their exact advertised role, their stated problem translated into Epiphany Client AI Learning Studio, and a real tool that can act on a real piece of work instead of a generic portfolio.</x:v>
      </x:c>
      <x:c r="I21" s="28" t="str">
        <x:v>https://au.seek.com/ai-trainer-jobs/in-All-Australia</x:v>
      </x:c>
    </x:row>
    <x:row r="22">
      <x:c r="A22" s="28" t="str">
        <x:v>Australian Retirement Trust</x:v>
      </x:c>
      <x:c r="B22" s="28" t="str">
        <x:v>Manager - AI Governance</x:v>
      </x:c>
      <x:c r="C22" s="28" t="str">
        <x:v>ART Responsible AI Governance System</x:v>
      </x:c>
      <x:c r="D22" s="28" t="str">
        <x:v>Based only on the public role brief, the system would focus on: A decision and assurance layer for every AI use case: purpose, data, risk, approval, controls, owner, monitoring and responsible-adoption evidence.</x:v>
      </x:c>
      <x:c r="E22" s="28" t="str">
        <x:v>Governance &amp; Safe-Use Agent | AI Opportunity Prioritiser | Implementation Control Room | AI Workforce Registry | Adoption Intelligence | Value &amp; ROI Engine | Executive AI Briefing Agent | AI Tool &amp; Capability Radar</x:v>
      </x:c>
      <x:c r="F22" s="28" t="str">
        <x:v>Take a real business task and return the AI opportunity, workflow, controls, implementation steps and value measures.</x:v>
      </x:c>
      <x:c r="G22" s="28" t="str">
        <x:v>Risk acceptance, regulatory interpretation, customer-impact decisions and final approvals stay with accountable humans.</x:v>
      </x:c>
      <x:c r="H22" s="28" t="str">
        <x:v>They see their exact advertised role, their stated problem translated into ART Responsible AI Governance System, and a real tool that can act on a real piece of work instead of a generic portfolio.</x:v>
      </x:c>
      <x:c r="I22" s="28" t="str">
        <x:v>https://au.seek.com/ai-governance-jobs/in-All-Australia</x:v>
      </x:c>
    </x:row>
    <x:row r="23">
      <x:c r="A23" s="28" t="str">
        <x:v>Australian Retirement Trust</x:v>
      </x:c>
      <x:c r="B23" s="28" t="str">
        <x:v>AI Governance Specialist</x:v>
      </x:c>
      <x:c r="C23" s="28" t="str">
        <x:v>ART AI Governance Specialist Workbench</x:v>
      </x:c>
      <x:c r="D23" s="28" t="str">
        <x:v>Based only on the public role brief, the system would focus on: The operational side of governance: intake, risk assessment, evidence, approvals, control testing, policy guidance and audit-ready records.</x:v>
      </x:c>
      <x:c r="E23" s="28" t="str">
        <x:v>Governance &amp; Safe-Use Agent | Implementation Control Room | AI Workforce Registry | Approved Use-Case Library | AI Tool &amp; Capability Radar</x:v>
      </x:c>
      <x:c r="F23" s="28" t="str">
        <x:v>Take a real business task and return the AI opportunity, workflow, controls, implementation steps and value measures.</x:v>
      </x:c>
      <x:c r="G23" s="28" t="str">
        <x:v>Risk acceptance, regulatory interpretation, customer-impact decisions and final approvals stay with accountable humans.</x:v>
      </x:c>
      <x:c r="H23" s="28" t="str">
        <x:v>They see their exact advertised role, their stated problem translated into ART AI Governance Specialist Workbench, and a real tool that can act on a real piece of work instead of a generic portfolio.</x:v>
      </x:c>
      <x:c r="I23" s="28" t="str">
        <x:v>https://au.seek.com/ai-governance-jobs/in-All-Australia</x:v>
      </x:c>
    </x:row>
    <x:row r="24">
      <x:c r="A24" s="28" t="str">
        <x:v>Australian Financial Complaints Authority</x:v>
      </x:c>
      <x:c r="B24" s="28" t="str">
        <x:v>Manager, AI Governance</x:v>
      </x:c>
      <x:c r="C24" s="28" t="str">
        <x:v>AFCA AI Governance &amp; Assurance System</x:v>
      </x:c>
      <x:c r="D24" s="28" t="str">
        <x:v>Based only on the public role brief, the system would focus on: A governance system designed around high-accountability decision environments: use-case register, assurance evidence, human review, audit trail and continuous control improvement.</x:v>
      </x:c>
      <x:c r="E24" s="28" t="str">
        <x:v>Governance &amp; Safe-Use Agent | Implementation Control Room | AI Workforce Registry | Adoption Intelligence | Value &amp; ROI Engine | Executive AI Briefing Agent</x:v>
      </x:c>
      <x:c r="F24" s="28" t="str">
        <x:v>Take a real business task and return the AI opportunity, workflow, controls, implementation steps and value measures.</x:v>
      </x:c>
      <x:c r="G24" s="28" t="str">
        <x:v>Risk acceptance, regulatory interpretation, customer-impact decisions and final approvals stay with accountable humans.</x:v>
      </x:c>
      <x:c r="H24" s="28" t="str">
        <x:v>They see their exact advertised role, their stated problem translated into AFCA AI Governance &amp; Assurance System, and a real tool that can act on a real piece of work instead of a generic portfolio.</x:v>
      </x:c>
      <x:c r="I24" s="28" t="str">
        <x:v>https://au.seek.com/ai-governance-jobs</x:v>
      </x:c>
    </x:row>
    <x:row r="25">
      <x:c r="A25" s="28" t="str">
        <x:v>Great Southern Bank</x:v>
      </x:c>
      <x:c r="B25" s="28" t="str">
        <x:v>Data and AI Governance Specialist</x:v>
      </x:c>
      <x:c r="C25" s="28" t="str">
        <x:v>Great Southern Bank Data + AI Governance System</x:v>
      </x:c>
      <x:c r="D25" s="28" t="str">
        <x:v>Based only on the public role brief, the system would focus on: A joined-up data-and-AI control layer that makes source data, AI purpose, quality, risk, policy, approvals and ongoing accountability visible in one record.</x:v>
      </x:c>
      <x:c r="E25" s="28" t="str">
        <x:v>Governance &amp; Safe-Use Agent | Implementation Control Room | AI Workforce Registry | Approved Use-Case Library | Executive AI Briefing Agent</x:v>
      </x:c>
      <x:c r="F25" s="28" t="str">
        <x:v>Take a business/change workflow and return opportunity, controls, workflow design and measurable outcomes.</x:v>
      </x:c>
      <x:c r="G25" s="28" t="str">
        <x:v>Risk acceptance, regulatory interpretation, customer-impact decisions and final approvals stay with accountable humans.</x:v>
      </x:c>
      <x:c r="H25" s="28" t="str">
        <x:v>They see their exact advertised role, their stated problem translated into Great Southern Bank Data + AI Governance System, and a real tool that can act on a real piece of work instead of a generic portfolio.</x:v>
      </x:c>
      <x:c r="I25" s="28" t="str">
        <x:v>https://au.seek.com/artificial-intelligence-governance-jobs</x:v>
      </x:c>
    </x:row>
    <x:row r="26">
      <x:c r="A26" s="28" t="str">
        <x:v>NSW Department of Customer Service</x:v>
      </x:c>
      <x:c r="B26" s="28" t="str">
        <x:v>Manager, Data &amp; AI Governance</x:v>
      </x:c>
      <x:c r="C26" s="28" t="str">
        <x:v>NSW DCS Trusted AI Governance System</x:v>
      </x:c>
      <x:c r="D26" s="28" t="str">
        <x:v>Based only on the public role brief, the system would focus on: A public-sector AI governance system that makes public interest, data stewardship, risk, human oversight, approvals and auditability explicit before deployment.</x:v>
      </x:c>
      <x:c r="E26" s="28" t="str">
        <x:v>Governance &amp; Safe-Use Agent | AI Opportunity Prioritiser | Implementation Control Room | AI Workforce Registry | Executive AI Briefing Agent | AI Tool &amp; Capability Radar</x:v>
      </x:c>
      <x:c r="F26" s="28" t="str">
        <x:v>Take a real business task and return the AI opportunity, workflow, controls, implementation steps and value measures.</x:v>
      </x:c>
      <x:c r="G26" s="28" t="str">
        <x:v>Public-interest, policy, ethical and final service decisions remain with accountable staff.</x:v>
      </x:c>
      <x:c r="H26" s="28" t="str">
        <x:v>They see their exact advertised role, their stated problem translated into NSW DCS Trusted AI Governance System, and a real tool that can act on a real piece of work instead of a generic portfolio.</x:v>
      </x:c>
      <x:c r="I26" s="28" t="str">
        <x:v>https://au.seek.com/ai-governance-jobs/in-All-Australia</x:v>
      </x:c>
    </x:row>
    <x:row r="27">
      <x:c r="A27" s="28" t="str">
        <x:v>Central Land Council</x:v>
      </x:c>
      <x:c r="B27" s="28" t="str">
        <x:v>PM009 - AI Specialist</x:v>
      </x:c>
      <x:c r="C27" s="28" t="str">
        <x:v>CLC AI Governance &amp; Operations System</x:v>
      </x:c>
      <x:c r="D27" s="28" t="str">
        <x:v>Based only on the public role brief, the system would focus on: A combined governance and operations control plane: use-case intake, risk, integrations, approvals, deployed tools, owners, incidents, performance and safe-use guidance.</x:v>
      </x:c>
      <x:c r="E27" s="28" t="str">
        <x:v>Work Discovery Agent | Governance &amp; Safe-Use Agent | Implementation Control Room | AI Workforce Registry | AI Help Desk | Adoption Intelligence | Value &amp; ROI Engine</x:v>
      </x:c>
      <x:c r="F27" s="28" t="str">
        <x:v>Take a real business task and return the AI opportunity, workflow, controls, implementation steps and value measures.</x:v>
      </x:c>
      <x:c r="G27" s="28" t="str">
        <x:v>Public-interest, policy, ethical and final service decisions remain with accountable staff.</x:v>
      </x:c>
      <x:c r="H27" s="28" t="str">
        <x:v>They see their exact advertised role, their stated problem translated into CLC AI Governance &amp; Operations System, and a real tool that can act on a real piece of work instead of a generic portfolio.</x:v>
      </x:c>
      <x:c r="I27" s="28" t="str">
        <x:v>https://au.seek.com/ai-governance-jobs/in-All-Australia</x:v>
      </x:c>
    </x:row>
    <x:row r="28">
      <x:c r="A28" s="28" t="str">
        <x:v>City of Stonnington</x:v>
      </x:c>
      <x:c r="B28" s="28" t="str">
        <x:v>AI Enablement Lead</x:v>
      </x:c>
      <x:c r="C28" s="28" t="str">
        <x:v>Stonnington Practical AI Enablement System</x:v>
      </x:c>
      <x:c r="D28" s="28" t="str">
        <x:v>Based only on the public role brief, the system would focus on: A council-ready system for finding service/admin use cases, coaching staff, applying responsible-use controls and showing which changes actually improve service delivery.</x:v>
      </x:c>
      <x:c r="E28" s="28" t="str">
        <x:v>Work Discovery Agent | Workflow Architect | Role AI Coach | Learning &amp; Practice Studio | Governance &amp; Safe-Use Agent | Adoption Intelligence | Value &amp; ROI Engine | Change &amp; Communications Agent</x:v>
      </x:c>
      <x:c r="F28" s="28" t="str">
        <x:v>Take a real business task and return the AI opportunity, workflow, controls, implementation steps and value measures.</x:v>
      </x:c>
      <x:c r="G28" s="28" t="str">
        <x:v>Public-interest, policy, ethical and final service decisions remain with accountable staff.</x:v>
      </x:c>
      <x:c r="H28" s="28" t="str">
        <x:v>They see their exact advertised role, their stated problem translated into Stonnington Practical AI Enablement System, and a real tool that can act on a real piece of work instead of a generic portfolio.</x:v>
      </x:c>
      <x:c r="I28" s="28" t="str">
        <x:v>https://au.seek.com/artificial-intelligence-governance-jobs/in-All-Australia</x:v>
      </x:c>
    </x:row>
    <x:row r="29">
      <x:c r="A29" s="28" t="str">
        <x:v>Wesfarmers Chemicals, Energy &amp; Fertilisers</x:v>
      </x:c>
      <x:c r="B29" s="28" t="str">
        <x:v>Digital Enablement Specialist (AI Transformation)</x:v>
      </x:c>
      <x:c r="C29" s="28" t="str">
        <x:v>WesCEF AI Transformation Enablement System</x:v>
      </x:c>
      <x:c r="D29" s="28" t="str">
        <x:v>Based only on the public role brief, the system would focus on: An industrial transformation pipeline that links business opportunity, workflow redesign, governance, rollout, adoption and value evidence.</x:v>
      </x:c>
      <x:c r="E29" s="28" t="str">
        <x:v>Work Discovery Agent | AI Opportunity Prioritiser | Workflow Architect | Governance &amp; Safe-Use Agent | Implementation Control Room | Adoption Intelligence | Value &amp; ROI Engine | Change &amp; Communications Agent</x:v>
      </x:c>
      <x:c r="F29" s="28" t="str">
        <x:v>Take a real business task and return the AI opportunity, workflow, controls, implementation steps and value measures.</x:v>
      </x:c>
      <x:c r="G29" s="28" t="str">
        <x:v>The system assists the work; accountable business decisions, exceptions and final approval stay with people.</x:v>
      </x:c>
      <x:c r="H29" s="28" t="str">
        <x:v>They see their exact advertised role, their stated problem translated into WesCEF AI Transformation Enablement System, and a real tool that can act on a real piece of work instead of a generic portfolio.</x:v>
      </x:c>
      <x:c r="I29" s="28" t="str">
        <x:v>https://au.seek.com/ai-governance-jobs/in-All-Australia</x:v>
      </x:c>
    </x:row>
    <x:row r="30">
      <x:c r="A30" s="28" t="str">
        <x:v>Victorian Department of Energy, Environment and Climate Action</x:v>
      </x:c>
      <x:c r="B30" s="28" t="str">
        <x:v>AI &amp; Data Lead</x:v>
      </x:c>
      <x:c r="C30" s="28" t="str">
        <x:v>DEECA Trusted AI &amp; Data Delivery System</x:v>
      </x:c>
      <x:c r="D30" s="28" t="str">
        <x:v>Based only on the public role brief, the system would focus on: A portfolio system for government AI and data solutions: problem, data, governance, delivery path, owner, outcome and continuous improvement.</x:v>
      </x:c>
      <x:c r="E30" s="28" t="str">
        <x:v>Work Discovery Agent | AI Opportunity Prioritiser | Governance &amp; Safe-Use Agent | Implementation Control Room | AI Workforce Registry | Value &amp; ROI Engine | Executive AI Briefing Agent</x:v>
      </x:c>
      <x:c r="F30" s="28" t="str">
        <x:v>Take a real business task and return the AI opportunity, workflow, controls, implementation steps and value measures.</x:v>
      </x:c>
      <x:c r="G30" s="28" t="str">
        <x:v>Public-interest, policy, ethical and final service decisions remain with accountable staff.</x:v>
      </x:c>
      <x:c r="H30" s="28" t="str">
        <x:v>They see their exact advertised role, their stated problem translated into DEECA Trusted AI &amp; Data Delivery System, and a real tool that can act on a real piece of work instead of a generic portfolio.</x:v>
      </x:c>
      <x:c r="I30" s="28" t="str">
        <x:v>https://au.seek.com/artificial-intelligence-governance-jobs/in-All-Australia</x:v>
      </x:c>
    </x:row>
    <x:row r="31">
      <x:c r="A31" s="28" t="str">
        <x:v>Victorian Department of Energy, Environment and Climate Action</x:v>
      </x:c>
      <x:c r="B31" s="28" t="str">
        <x:v>Artificial Intelligence (AI) Technical Specialist</x:v>
      </x:c>
      <x:c r="C31" s="28" t="str">
        <x:v>DEECA AI Service Enablement Workbench</x:v>
      </x:c>
      <x:c r="D31" s="28" t="str">
        <x:v>Based only on the public role brief, the system would focus on: A technical enablement layer for approved AI services: tool catalogue, guidance, patterns, integration notes, issues, change log and business-unit support.</x:v>
      </x:c>
      <x:c r="E31" s="28" t="str">
        <x:v>Workflow Architect | Agent Builder | AI Help Desk | Governance &amp; Safe-Use Agent | Approved Use-Case Library | AI Tool &amp; Capability Radar | Implementation Control Room</x:v>
      </x:c>
      <x:c r="F31" s="28" t="str">
        <x:v>Take a real business task and return the AI opportunity, workflow, controls, implementation steps and value measures.</x:v>
      </x:c>
      <x:c r="G31" s="28" t="str">
        <x:v>Public-interest, policy, ethical and final service decisions remain with accountable staff.</x:v>
      </x:c>
      <x:c r="H31" s="28" t="str">
        <x:v>They see their exact advertised role, their stated problem translated into DEECA AI Service Enablement Workbench, and a real tool that can act on a real piece of work instead of a generic portfolio.</x:v>
      </x:c>
      <x:c r="I31" s="28" t="str">
        <x:v>https://au.seek.com/artificial-intelligence-governance-jobs/in-All-Australia</x:v>
      </x:c>
    </x:row>
    <x:row r="32">
      <x:c r="A32" s="28" t="str">
        <x:v>City of Whittlesea</x:v>
      </x:c>
      <x:c r="B32" s="28" t="str">
        <x:v>AI Solutions Officer</x:v>
      </x:c>
      <x:c r="C32" s="28" t="str">
        <x:v>Whittlesea AI Service Improvement System</x:v>
      </x:c>
      <x:c r="D32" s="28" t="str">
        <x:v>Based only on the public role brief, the system would focus on: A council service-improvement engine: start with service pain points, design a safe AI workflow, pilot it with staff and measure whether the resident/staff experience improves.</x:v>
      </x:c>
      <x:c r="E32" s="28" t="str">
        <x:v>Work Discovery Agent | AI Opportunity Prioritiser | Workflow Architect | Agent Builder | Governance &amp; Safe-Use Agent | Implementation Control Room | Adoption Intelligence | Value &amp; ROI Engine</x:v>
      </x:c>
      <x:c r="F32" s="28" t="str">
        <x:v>Take a real business task and return the AI opportunity, workflow, controls, implementation steps and value measures.</x:v>
      </x:c>
      <x:c r="G32" s="28" t="str">
        <x:v>Public-interest, policy, ethical and final service decisions remain with accountable staff.</x:v>
      </x:c>
      <x:c r="H32" s="28" t="str">
        <x:v>They see their exact advertised role, their stated problem translated into Whittlesea AI Service Improvement System, and a real tool that can act on a real piece of work instead of a generic portfolio.</x:v>
      </x:c>
      <x:c r="I32" s="28" t="str">
        <x:v>https://au.seek.com/ai-policy-jobs/in-All-Melbourne-VIC</x:v>
      </x:c>
    </x:row>
    <x:row r="33">
      <x:c r="A33" s="28" t="str">
        <x:v>Australian Renewable Energy Agency (ARENA)</x:v>
      </x:c>
      <x:c r="B33" s="28" t="str">
        <x:v>Applications and AI Lead</x:v>
      </x:c>
      <x:c r="C33" s="28" t="str">
        <x:v>ARENA Applications + AI Value System</x:v>
      </x:c>
      <x:c r="D33" s="28" t="str">
        <x:v>Based only on the public role brief, the system would focus on: A roadmap system that links enterprise applications, AI opportunities, owners, dependencies, vendors, delivery work and business value.</x:v>
      </x:c>
      <x:c r="E33" s="28" t="str">
        <x:v>Work Discovery Agent | AI Opportunity Prioritiser | Vendor &amp; Tool Evaluation Agent | Implementation Control Room | AI Workforce Registry | Value &amp; ROI Engine | Executive AI Briefing Agent | AI Tool &amp; Capability Radar</x:v>
      </x:c>
      <x:c r="F33" s="28" t="str">
        <x:v>Take a real business task and return the AI opportunity, workflow, controls, implementation steps and value measures.</x:v>
      </x:c>
      <x:c r="G33" s="28" t="str">
        <x:v>The system assists the work; accountable business decisions, exceptions and final approval stay with people.</x:v>
      </x:c>
      <x:c r="H33" s="28" t="str">
        <x:v>They see their exact advertised role, their stated problem translated into ARENA Applications + AI Value System, and a real tool that can act on a real piece of work instead of a generic portfolio.</x:v>
      </x:c>
      <x:c r="I33" s="28" t="str">
        <x:v>https://au.seek.com/Enterprise-Ai-jobs/in-All-Sydney-NSW</x:v>
      </x:c>
    </x:row>
    <x:row r="34">
      <x:c r="A34" s="28" t="str">
        <x:v>CBRE Advisory</x:v>
      </x:c>
      <x:c r="B34" s="28" t="str">
        <x:v>AI Analytics Lead</x:v>
      </x:c>
      <x:c r="C34" s="28" t="str">
        <x:v>CBRE AI Analytics &amp; Opportunity System</x:v>
      </x:c>
      <x:c r="D34" s="28" t="str">
        <x:v>Based only on the public role brief, the system would focus on: An analytics-led companion to the adoption role: identify high-value AI opportunities, test impact hypotheses and feed validated patterns back into adoption.</x:v>
      </x:c>
      <x:c r="E34" s="28" t="str">
        <x:v>Work Discovery Agent | AI Opportunity Prioritiser | Workflow Architect | Value &amp; ROI Engine | Executive AI Briefing Agent | AI Tool &amp; Capability Radar</x:v>
      </x:c>
      <x:c r="F34" s="28" t="str">
        <x:v>Take a real business task and return the AI opportunity, workflow, controls, implementation steps and value measures.</x:v>
      </x:c>
      <x:c r="G34" s="28" t="str">
        <x:v>The system assists the work; accountable business decisions, exceptions and final approval stay with people.</x:v>
      </x:c>
      <x:c r="H34" s="28" t="str">
        <x:v>They see their exact advertised role, their stated problem translated into CBRE AI Analytics &amp; Opportunity System, and a real tool that can act on a real piece of work instead of a generic portfolio.</x:v>
      </x:c>
      <x:c r="I34" s="28" t="str">
        <x:v>https://au.seek.com/CBRE-jobs/in-Sydney-NSW-2000</x:v>
      </x:c>
    </x:row>
    <x:row r="35">
      <x:c r="A35" s="28" t="str">
        <x:v>RSM Australia</x:v>
      </x:c>
      <x:c r="B35" s="28" t="str">
        <x:v>Data Analytics &amp; AI Manager</x:v>
      </x:c>
      <x:c r="C35" s="28" t="str">
        <x:v>RSM Analytics + AI Value Delivery System</x:v>
      </x:c>
      <x:c r="D35" s="28" t="str">
        <x:v>Based only on the public role brief, the system would focus on: A consulting delivery system connecting client problem, analytics/AI solution, governance, adoption, evidence and measurable business impact.</x:v>
      </x:c>
      <x:c r="E35" s="28" t="str">
        <x:v>Work Discovery Agent | AI Opportunity Prioritiser | Workflow Architect | Governance &amp; Safe-Use Agent | Implementation Control Room | Adoption Intelligence | Value &amp; ROI Engine | Executive AI Briefing Agent</x:v>
      </x:c>
      <x:c r="F35" s="28" t="str">
        <x:v>Take a real business task and return the AI opportunity, workflow, controls, implementation steps and value measures.</x:v>
      </x:c>
      <x:c r="G35" s="28" t="str">
        <x:v>The system assists the work; accountable business decisions, exceptions and final approval stay with people.</x:v>
      </x:c>
      <x:c r="H35" s="28" t="str">
        <x:v>They see their exact advertised role, their stated problem translated into RSM Analytics + AI Value Delivery System, and a real tool that can act on a real piece of work instead of a generic portfolio.</x:v>
      </x:c>
      <x:c r="I35" s="28" t="str">
        <x:v>https://au.seek.com/Data-%26-AI-Governance-jobs/in-All-Sydney-NSW</x:v>
      </x:c>
    </x:row>
  </x:sheetData>
  <x:pageMargins left="0.7" right="0.7" top="0.75" bottom="0.75" header="0.3" footer="0.3"/>
  <x:tableParts count="1">
    <x:tablePart xmlns:r="http://schemas.openxmlformats.org/officeDocument/2006/relationships" r:id="R3ce2918d06d648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66" hidden="0" customWidth="1"/>
    <x:col min="4" max="4" width="22" hidden="0" customWidth="1"/>
    <x:col min="5" max="5" width="38" hidden="0" customWidth="1"/>
  </x:cols>
  <x:sheetData>
    <x:row r="1">
      <x:c r="A1" s="17" t="str">
        <x:v>Module ID</x:v>
      </x:c>
      <x:c r="B1" s="17" t="str">
        <x:v>Module</x:v>
      </x:c>
      <x:c r="C1" s="17" t="str">
        <x:v>What it really does</x:v>
      </x:c>
      <x:c r="D1" s="17" t="str">
        <x:v>Can be interactive on V1?</x:v>
      </x:c>
      <x:c r="E1" s="17" t="str">
        <x:v>V1 endpoint / action</x:v>
      </x:c>
    </x:row>
    <x:row r="2">
      <x:c r="A2" s="28" t="str">
        <x:v>DISCOVERY</x:v>
      </x:c>
      <x:c r="B2" s="28" t="str">
        <x:v>Work Discovery Agent</x:v>
      </x:c>
      <x:c r="C2" s="28" t="str">
        <x:v>Takes a real task/process and identifies friction, repetition, inputs, outputs, human judgement and AI opportunities.</x:v>
      </x:c>
      <x:c r="D2" s="28" t="str">
        <x:v>Yes</x:v>
      </x:c>
      <x:c r="E2" s="28" t="str">
        <x:v>/api/analyse-work</x:v>
      </x:c>
    </x:row>
    <x:row r="3">
      <x:c r="A3" s="28" t="str">
        <x:v>PRIORITY</x:v>
      </x:c>
      <x:c r="B3" s="28" t="str">
        <x:v>AI Opportunity Prioritiser</x:v>
      </x:c>
      <x:c r="C3" s="28" t="str">
        <x:v>Ranks opportunities by business value, time saved, effort, risk and readiness so teams know what to do first.</x:v>
      </x:c>
      <x:c r="D3" s="28" t="str">
        <x:v>Yes</x:v>
      </x:c>
      <x:c r="E3" s="28" t="str">
        <x:v>/api/score-opportunity</x:v>
      </x:c>
    </x:row>
    <x:row r="4">
      <x:c r="A4" s="28" t="str">
        <x:v>WORKFLOW</x:v>
      </x:c>
      <x:c r="B4" s="28" t="str">
        <x:v>Workflow Architect</x:v>
      </x:c>
      <x:c r="C4" s="28" t="str">
        <x:v>Turns a real business task into a step-by-step human + AI workflow with inputs, outputs, checkpoints and escalation.</x:v>
      </x:c>
      <x:c r="D4" s="28" t="str">
        <x:v>Yes</x:v>
      </x:c>
      <x:c r="E4" s="28" t="str">
        <x:v>/api/design-workflow</x:v>
      </x:c>
    </x:row>
    <x:row r="5">
      <x:c r="A5" s="28" t="str">
        <x:v>AGENT</x:v>
      </x:c>
      <x:c r="B5" s="28" t="str">
        <x:v>Agent Builder</x:v>
      </x:c>
      <x:c r="C5" s="28" t="str">
        <x:v>Designs specialised agents for repeatable work, including purpose, tools, boundaries, hand-offs and testing criteria.</x:v>
      </x:c>
      <x:c r="D5" s="28" t="str">
        <x:v>Yes</x:v>
      </x:c>
      <x:c r="E5" s="28" t="str">
        <x:v>/api/design-agent</x:v>
      </x:c>
    </x:row>
    <x:row r="6">
      <x:c r="A6" s="28" t="str">
        <x:v>COACH</x:v>
      </x:c>
      <x:c r="B6" s="28" t="str">
        <x:v>Role AI Coach</x:v>
      </x:c>
      <x:c r="C6" s="28" t="str">
        <x:v>Gives practical, role-specific guidance in the flow of work rather than generic AI training.</x:v>
      </x:c>
      <x:c r="D6" s="28" t="str">
        <x:v>Yes</x:v>
      </x:c>
      <x:c r="E6" s="28" t="str">
        <x:v>/api/coach</x:v>
      </x:c>
    </x:row>
    <x:row r="7">
      <x:c r="A7" s="28" t="str">
        <x:v>HELP</x:v>
      </x:c>
      <x:c r="B7" s="28" t="str">
        <x:v>AI Help Desk</x:v>
      </x:c>
      <x:c r="C7" s="28" t="str">
        <x:v>Handles day-to-day AI questions, troubleshooting and 'how do I do this?' requests.</x:v>
      </x:c>
      <x:c r="D7" s="28" t="str">
        <x:v>Yes</x:v>
      </x:c>
      <x:c r="E7" s="28" t="str">
        <x:v>/api/help</x:v>
      </x:c>
    </x:row>
    <x:row r="8">
      <x:c r="A8" s="28" t="str">
        <x:v>TRAIN</x:v>
      </x:c>
      <x:c r="B8" s="28" t="str">
        <x:v>Learning &amp; Practice Studio</x:v>
      </x:c>
      <x:c r="C8" s="28" t="str">
        <x:v>Creates workshops, practice tasks, role learning paths, playbooks and follow-up practice tied to real work.</x:v>
      </x:c>
      <x:c r="D8" s="28" t="str">
        <x:v>Yes</x:v>
      </x:c>
      <x:c r="E8" s="28" t="str">
        <x:v>/api/build-learning-plan</x:v>
      </x:c>
    </x:row>
    <x:row r="9">
      <x:c r="A9" s="28" t="str">
        <x:v>GOV</x:v>
      </x:c>
      <x:c r="B9" s="28" t="str">
        <x:v>Governance &amp; Safe-Use Agent</x:v>
      </x:c>
      <x:c r="C9" s="28" t="str">
        <x:v>Maps the proposed AI use to privacy, security, IP, responsible-AI and approval requirements.</x:v>
      </x:c>
      <x:c r="D9" s="28" t="str">
        <x:v>Yes</x:v>
      </x:c>
      <x:c r="E9" s="28" t="str">
        <x:v>/api/check-governance</x:v>
      </x:c>
    </x:row>
    <x:row r="10">
      <x:c r="A10" s="28" t="str">
        <x:v>LIBRARY</x:v>
      </x:c>
      <x:c r="B10" s="28" t="str">
        <x:v>Approved Use-Case Library</x:v>
      </x:c>
      <x:c r="C10" s="28" t="str">
        <x:v>Stores reusable workflows, prompts, playbooks, agents, examples and lessons learned.</x:v>
      </x:c>
      <x:c r="D10" s="28" t="str">
        <x:v>Yes</x:v>
      </x:c>
      <x:c r="E10" s="28" t="str">
        <x:v>Static reviewed content + generated export</x:v>
      </x:c>
    </x:row>
    <x:row r="11">
      <x:c r="A11" s="28" t="str">
        <x:v>CHAMPIONS</x:v>
      </x:c>
      <x:c r="B11" s="28" t="str">
        <x:v>AI Champions Hub</x:v>
      </x:c>
      <x:c r="C11" s="28" t="str">
        <x:v>Coordinates champions, office hours, peer sharing, blockers and adoption activity.</x:v>
      </x:c>
      <x:c r="D11" s="28" t="str">
        <x:v>Yes</x:v>
      </x:c>
      <x:c r="E11" s="28" t="str">
        <x:v>/api/build-champion-plan</x:v>
      </x:c>
    </x:row>
    <x:row r="12">
      <x:c r="A12" s="28" t="str">
        <x:v>ADOPTION</x:v>
      </x:c>
      <x:c r="B12" s="28" t="str">
        <x:v>Adoption Intelligence</x:v>
      </x:c>
      <x:c r="C12" s="28" t="str">
        <x:v>Shows where people are adopting AI, where they are stuck and what support or workflow changes are needed.</x:v>
      </x:c>
      <x:c r="D12" s="28" t="str">
        <x:v>Yes</x:v>
      </x:c>
      <x:c r="E12" s="28" t="str">
        <x:v>/api/adoption-diagnostic</x:v>
      </x:c>
    </x:row>
    <x:row r="13">
      <x:c r="A13" s="28" t="str">
        <x:v>ROI</x:v>
      </x:c>
      <x:c r="B13" s="28" t="str">
        <x:v>Value &amp; ROI Engine</x:v>
      </x:c>
      <x:c r="C13" s="28" t="str">
        <x:v>Defines baselines and measures time, quality, cost, adoption and business outcomes without inventing results.</x:v>
      </x:c>
      <x:c r="D13" s="28" t="str">
        <x:v>Yes</x:v>
      </x:c>
      <x:c r="E13" s="28" t="str">
        <x:v>/api/value-model</x:v>
      </x:c>
    </x:row>
    <x:row r="14">
      <x:c r="A14" s="28" t="str">
        <x:v>RADAR</x:v>
      </x:c>
      <x:c r="B14" s="28" t="str">
        <x:v>AI Tool &amp; Capability Radar</x:v>
      </x:c>
      <x:c r="C14" s="28" t="str">
        <x:v>Tracks tool/model changes and identifies when new capability changes an earlier recommendation.</x:v>
      </x:c>
      <x:c r="D14" s="28" t="str">
        <x:v>Partial</x:v>
      </x:c>
      <x:c r="E14" s="28" t="str">
        <x:v>/api/tool-radar (later web-connected)</x:v>
      </x:c>
    </x:row>
    <x:row r="15">
      <x:c r="A15" s="28" t="str">
        <x:v>LICENSE</x:v>
      </x:c>
      <x:c r="B15" s="28" t="str">
        <x:v>AI Tool &amp; Licence Optimiser</x:v>
      </x:c>
      <x:c r="C15" s="28" t="str">
        <x:v>Reviews tool usage, overlap, licence utilisation and cost versus value.</x:v>
      </x:c>
      <x:c r="D15" s="28" t="str">
        <x:v>Yes</x:v>
      </x:c>
      <x:c r="E15" s="28" t="str">
        <x:v>/api/licence-review</x:v>
      </x:c>
    </x:row>
    <x:row r="16">
      <x:c r="A16" s="28" t="str">
        <x:v>WORKFORCE</x:v>
      </x:c>
      <x:c r="B16" s="28" t="str">
        <x:v>AI Workforce Registry</x:v>
      </x:c>
      <x:c r="C16" s="28" t="str">
        <x:v>Tracks agents/digital workers, owners, permissions, purpose, status, cost, performance and human supervisor.</x:v>
      </x:c>
      <x:c r="D16" s="28" t="str">
        <x:v>Partial</x:v>
      </x:c>
      <x:c r="E16" s="28" t="str">
        <x:v>/api/agent-registry (data model first)</x:v>
      </x:c>
    </x:row>
    <x:row r="17">
      <x:c r="A17" s="28" t="str">
        <x:v>CHANGE</x:v>
      </x:c>
      <x:c r="B17" s="28" t="str">
        <x:v>Change &amp; Communications Agent</x:v>
      </x:c>
      <x:c r="C17" s="28" t="str">
        <x:v>Builds stakeholder plans, readiness actions, communications, launch plans and feedback loops.</x:v>
      </x:c>
      <x:c r="D17" s="28" t="str">
        <x:v>Yes</x:v>
      </x:c>
      <x:c r="E17" s="28" t="str">
        <x:v>/api/change-plan</x:v>
      </x:c>
    </x:row>
    <x:row r="18">
      <x:c r="A18" s="28" t="str">
        <x:v>IMPLEMENT</x:v>
      </x:c>
      <x:c r="B18" s="28" t="str">
        <x:v>Implementation Control Room</x:v>
      </x:c>
      <x:c r="C18" s="28" t="str">
        <x:v>Tracks initiatives from idea through approval, build, pilot, rollout, issues and value realisation.</x:v>
      </x:c>
      <x:c r="D18" s="28" t="str">
        <x:v>Yes</x:v>
      </x:c>
      <x:c r="E18" s="28" t="str">
        <x:v>/api/implementation-plan</x:v>
      </x:c>
    </x:row>
    <x:row r="19">
      <x:c r="A19" s="28" t="str">
        <x:v>EXEC</x:v>
      </x:c>
      <x:c r="B19" s="28" t="str">
        <x:v>Executive AI Briefing Agent</x:v>
      </x:c>
      <x:c r="C19" s="28" t="str">
        <x:v>Turns adoption, value, risk and pipeline data into concise leadership briefings and decisions required.</x:v>
      </x:c>
      <x:c r="D19" s="28" t="str">
        <x:v>Yes</x:v>
      </x:c>
      <x:c r="E19" s="28" t="str">
        <x:v>/api/executive-brief</x:v>
      </x:c>
    </x:row>
    <x:row r="20">
      <x:c r="A20" s="28" t="str">
        <x:v>VENDOR</x:v>
      </x:c>
      <x:c r="B20" s="28" t="str">
        <x:v>Vendor &amp; Tool Evaluation Agent</x:v>
      </x:c>
      <x:c r="C20" s="28" t="str">
        <x:v>Compares candidate AI tools against requirements, risk, integration, cost and expected value.</x:v>
      </x:c>
      <x:c r="D20" s="28" t="str">
        <x:v>Yes</x:v>
      </x:c>
      <x:c r="E20" s="28" t="str">
        <x:v>/api/compare-tools</x:v>
      </x:c>
    </x:row>
  </x:sheetData>
  <x:pageMargins left="0.7" right="0.7" top="0.75" bottom="0.75" header="0.3" footer="0.3"/>
  <x:tableParts count="1">
    <x:tablePart xmlns:r="http://schemas.openxmlformats.org/officeDocument/2006/relationships" r:id="R568362690b13404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>
      <x:c r="A1" s="17" t="str">
        <x:v>Company</x:v>
      </x:c>
      <x:c r="B1" s="17" t="str">
        <x:v>Role</x:v>
      </x:c>
      <x:c r="C1" s="17" t="str">
        <x:v>DISCOVERY</x:v>
      </x:c>
      <x:c r="D1" s="17" t="str">
        <x:v>PRIORITY</x:v>
      </x:c>
      <x:c r="E1" s="17" t="str">
        <x:v>WORKFLOW</x:v>
      </x:c>
      <x:c r="F1" s="17" t="str">
        <x:v>AGENT</x:v>
      </x:c>
      <x:c r="G1" s="17" t="str">
        <x:v>COACH</x:v>
      </x:c>
      <x:c r="H1" s="17" t="str">
        <x:v>HELP</x:v>
      </x:c>
      <x:c r="I1" s="17" t="str">
        <x:v>TRAIN</x:v>
      </x:c>
      <x:c r="J1" s="17" t="str">
        <x:v>GOV</x:v>
      </x:c>
      <x:c r="K1" s="17" t="str">
        <x:v>LIBRARY</x:v>
      </x:c>
      <x:c r="L1" s="17" t="str">
        <x:v>CHAMPIONS</x:v>
      </x:c>
      <x:c r="M1" s="17" t="str">
        <x:v>ADOPTION</x:v>
      </x:c>
      <x:c r="N1" s="17" t="str">
        <x:v>ROI</x:v>
      </x:c>
      <x:c r="O1" s="17" t="str">
        <x:v>RADAR</x:v>
      </x:c>
      <x:c r="P1" s="17" t="str">
        <x:v>LICENSE</x:v>
      </x:c>
      <x:c r="Q1" s="17" t="str">
        <x:v>WORKFORCE</x:v>
      </x:c>
      <x:c r="R1" s="17" t="str">
        <x:v>CHANGE</x:v>
      </x:c>
      <x:c r="S1" s="17" t="str">
        <x:v>IMPLEMENT</x:v>
      </x:c>
      <x:c r="T1" s="17" t="str">
        <x:v>EXEC</x:v>
      </x:c>
      <x:c r="U1" s="17" t="str">
        <x:v>VENDOR</x:v>
      </x:c>
    </x:row>
    <x:row r="2">
      <x:c r="A2" t="str">
        <x:v>ABC</x:v>
      </x:c>
      <x:c r="B2" t="str">
        <x:v>AI Adoption Specialist</x:v>
      </x:c>
      <x:c r="C2" t="n">
        <x:v>1</x:v>
      </x:c>
      <x:c r="D2" t="n">
        <x:v>0</x:v>
      </x:c>
      <x:c r="E2" t="n">
        <x:v>1</x:v>
      </x:c>
      <x:c r="F2" t="n">
        <x:v>0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1</x:v>
      </x:c>
      <x:c r="L2" t="n">
        <x:v>0</x:v>
      </x:c>
      <x:c r="M2" t="n">
        <x:v>1</x:v>
      </x:c>
      <x:c r="N2" t="n">
        <x:v>1</x:v>
      </x:c>
      <x:c r="O2" t="n">
        <x:v>0</x:v>
      </x:c>
      <x:c r="P2" t="n">
        <x:v>0</x:v>
      </x:c>
      <x:c r="Q2" t="n">
        <x:v>0</x:v>
      </x:c>
      <x:c r="R2" t="n">
        <x:v>1</x:v>
      </x:c>
      <x:c r="S2" t="n">
        <x:v>0</x:v>
      </x:c>
      <x:c r="T2" t="n">
        <x:v>0</x:v>
      </x:c>
      <x:c r="U2" t="n">
        <x:v>0</x:v>
      </x:c>
    </x:row>
    <x:row r="3">
      <x:c r="A3" t="str">
        <x:v>The Arnott's Group</x:v>
      </x:c>
      <x:c r="B3" t="str">
        <x:v>AI Enablement and Adoption Lead</x:v>
      </x:c>
      <x:c r="C3" t="n">
        <x:v>1</x:v>
      </x:c>
      <x:c r="D3" t="n">
        <x:v>1</x:v>
      </x:c>
      <x:c r="E3" t="n">
        <x:v>1</x:v>
      </x:c>
      <x:c r="F3" t="n">
        <x:v>1</x:v>
      </x:c>
      <x:c r="G3" t="n">
        <x:v>1</x:v>
      </x:c>
      <x:c r="H3" t="n">
        <x:v>0</x:v>
      </x:c>
      <x:c r="I3" t="n">
        <x:v>1</x:v>
      </x:c>
      <x:c r="J3" t="n">
        <x:v>1</x:v>
      </x:c>
      <x:c r="K3" t="n">
        <x:v>0</x:v>
      </x:c>
      <x:c r="L3" t="n">
        <x:v>1</x:v>
      </x:c>
      <x:c r="M3" t="n">
        <x:v>1</x:v>
      </x:c>
      <x:c r="N3" t="n">
        <x:v>1</x:v>
      </x:c>
      <x:c r="O3" t="n">
        <x:v>0</x:v>
      </x:c>
      <x:c r="P3" t="n">
        <x:v>0</x:v>
      </x:c>
      <x:c r="Q3" t="n">
        <x:v>0</x:v>
      </x:c>
      <x:c r="R3" t="n">
        <x:v>1</x:v>
      </x:c>
      <x:c r="S3" t="n">
        <x:v>0</x:v>
      </x:c>
      <x:c r="T3" t="n">
        <x:v>0</x:v>
      </x:c>
      <x:c r="U3" t="n">
        <x:v>0</x:v>
      </x:c>
    </x:row>
    <x:row r="4">
      <x:c r="A4" t="str">
        <x:v>Findex</x:v>
      </x:c>
      <x:c r="B4" t="str">
        <x:v>AI &amp; Digital Tools Adoption Lead</x:v>
      </x:c>
      <x:c r="C4" t="n">
        <x:v>1</x:v>
      </x:c>
      <x:c r="D4" t="n">
        <x:v>1</x:v>
      </x:c>
      <x:c r="E4" t="n">
        <x:v>1</x:v>
      </x:c>
      <x:c r="F4" t="n">
        <x:v>1</x:v>
      </x:c>
      <x:c r="G4" t="n">
        <x:v>1</x:v>
      </x:c>
      <x:c r="H4" t="n">
        <x:v>1</x:v>
      </x:c>
      <x:c r="I4" t="n">
        <x:v>0</x:v>
      </x:c>
      <x:c r="J4" t="n">
        <x:v>1</x:v>
      </x:c>
      <x:c r="K4" t="n">
        <x:v>1</x:v>
      </x:c>
      <x:c r="L4" t="n">
        <x:v>1</x:v>
      </x:c>
      <x:c r="M4" t="n">
        <x:v>1</x:v>
      </x:c>
      <x:c r="N4" t="n">
        <x:v>1</x:v>
      </x:c>
      <x:c r="O4" t="n">
        <x:v>0</x:v>
      </x:c>
      <x:c r="P4" t="n">
        <x:v>0</x:v>
      </x:c>
      <x:c r="Q4" t="n">
        <x:v>1</x:v>
      </x:c>
      <x:c r="R4" t="n">
        <x:v>0</x:v>
      </x:c>
      <x:c r="S4" t="n">
        <x:v>0</x:v>
      </x:c>
      <x:c r="T4" t="n">
        <x:v>1</x:v>
      </x:c>
      <x:c r="U4" t="n">
        <x:v>0</x:v>
      </x:c>
    </x:row>
    <x:row r="5">
      <x:c r="A5" t="str">
        <x:v>SSI</x:v>
      </x:c>
      <x:c r="B5" t="str">
        <x:v>AI Enablement and Adoption Lead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1</x:v>
      </x:c>
      <x:c r="H5" t="n">
        <x:v>1</x:v>
      </x:c>
      <x:c r="I5" t="n">
        <x:v>1</x:v>
      </x:c>
      <x:c r="J5" t="n">
        <x:v>1</x:v>
      </x:c>
      <x:c r="K5" t="n">
        <x:v>1</x:v>
      </x:c>
      <x:c r="L5" t="n">
        <x:v>1</x:v>
      </x:c>
      <x:c r="M5" t="n">
        <x:v>1</x:v>
      </x:c>
      <x:c r="N5" t="n">
        <x:v>1</x:v>
      </x:c>
      <x:c r="O5" t="n">
        <x:v>0</x:v>
      </x:c>
      <x:c r="P5" t="n">
        <x:v>0</x:v>
      </x:c>
      <x:c r="Q5" t="n">
        <x:v>0</x:v>
      </x:c>
      <x:c r="R5" t="n">
        <x:v>1</x:v>
      </x:c>
      <x:c r="S5" t="n">
        <x:v>0</x:v>
      </x:c>
      <x:c r="T5" t="n">
        <x:v>0</x:v>
      </x:c>
      <x:c r="U5" t="n">
        <x:v>0</x:v>
      </x:c>
    </x:row>
    <x:row r="6">
      <x:c r="A6" t="str">
        <x:v>Georgiou Group</x:v>
      </x:c>
      <x:c r="B6" t="str">
        <x:v>AI Enablement Lead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0</x:v>
      </x:c>
      <x:c r="H6" t="n">
        <x:v>0</x:v>
      </x:c>
      <x:c r="I6" t="n">
        <x:v>1</x:v>
      </x:c>
      <x:c r="J6" t="n">
        <x:v>1</x:v>
      </x:c>
      <x:c r="K6" t="n">
        <x:v>0</x:v>
      </x:c>
      <x:c r="L6" t="n">
        <x:v>0</x:v>
      </x:c>
      <x:c r="M6" t="n">
        <x:v>1</x:v>
      </x:c>
      <x:c r="N6" t="n">
        <x:v>1</x:v>
      </x:c>
      <x:c r="O6" t="n">
        <x:v>0</x:v>
      </x:c>
      <x:c r="P6" t="n">
        <x:v>0</x:v>
      </x:c>
      <x:c r="Q6" t="n">
        <x:v>1</x:v>
      </x:c>
      <x:c r="R6" t="n">
        <x:v>1</x:v>
      </x:c>
      <x:c r="S6" t="n">
        <x:v>1</x:v>
      </x:c>
      <x:c r="T6" t="n">
        <x:v>0</x:v>
      </x:c>
      <x:c r="U6" t="n">
        <x:v>0</x:v>
      </x:c>
    </x:row>
    <x:row r="7">
      <x:c r="A7" t="str">
        <x:v>Novigi</x:v>
      </x:c>
      <x:c r="B7" t="str">
        <x:v>AI Adoption Coach</x:v>
      </x:c>
      <x:c r="C7" t="n">
        <x:v>1</x:v>
      </x:c>
      <x:c r="D7" t="n">
        <x:v>0</x:v>
      </x:c>
      <x:c r="E7" t="n">
        <x:v>1</x:v>
      </x:c>
      <x:c r="F7" t="n">
        <x:v>0</x:v>
      </x:c>
      <x:c r="G7" t="n">
        <x:v>1</x:v>
      </x:c>
      <x:c r="H7" t="n">
        <x:v>1</x:v>
      </x:c>
      <x:c r="I7" t="n">
        <x:v>1</x:v>
      </x:c>
      <x:c r="J7" t="n">
        <x:v>0</x:v>
      </x:c>
      <x:c r="K7" t="n">
        <x:v>1</x:v>
      </x:c>
      <x:c r="L7" t="n">
        <x:v>1</x:v>
      </x:c>
      <x:c r="M7" t="n">
        <x:v>1</x:v>
      </x:c>
      <x:c r="N7" t="n">
        <x:v>1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</x:row>
    <x:row r="8">
      <x:c r="A8" t="str">
        <x:v>Novigi</x:v>
      </x:c>
      <x:c r="B8" t="str">
        <x:v>AI Adoption Programme Co-ordinator</x:v>
      </x:c>
      <x:c r="C8" t="n">
        <x:v>0</x:v>
      </x:c>
      <x:c r="D8" t="n">
        <x:v>1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1</x:v>
      </x:c>
      <x:c r="M8" t="n">
        <x:v>1</x:v>
      </x:c>
      <x:c r="N8" t="n">
        <x:v>1</x:v>
      </x:c>
      <x:c r="O8" t="n">
        <x:v>0</x:v>
      </x:c>
      <x:c r="P8" t="n">
        <x:v>0</x:v>
      </x:c>
      <x:c r="Q8" t="n">
        <x:v>0</x:v>
      </x:c>
      <x:c r="R8" t="n">
        <x:v>1</x:v>
      </x:c>
      <x:c r="S8" t="n">
        <x:v>1</x:v>
      </x:c>
      <x:c r="T8" t="n">
        <x:v>1</x:v>
      </x:c>
      <x:c r="U8" t="n">
        <x:v>0</x:v>
      </x:c>
    </x:row>
    <x:row r="9">
      <x:c r="A9" t="str">
        <x:v>Commonwealth Bank</x:v>
      </x:c>
      <x:c r="B9" t="str">
        <x:v>Chapter Lead - AI Enablement &amp; Execution</x:v>
      </x:c>
      <x:c r="C9" t="n">
        <x:v>1</x:v>
      </x:c>
      <x:c r="D9" t="n">
        <x:v>1</x:v>
      </x:c>
      <x:c r="E9" t="n">
        <x:v>1</x:v>
      </x:c>
      <x:c r="F9" t="n">
        <x:v>0</x:v>
      </x:c>
      <x:c r="G9" t="n">
        <x:v>1</x:v>
      </x:c>
      <x:c r="H9" t="n">
        <x:v>0</x:v>
      </x:c>
      <x:c r="I9" t="n">
        <x:v>1</x:v>
      </x:c>
      <x:c r="J9" t="n">
        <x:v>1</x:v>
      </x:c>
      <x:c r="K9" t="n">
        <x:v>1</x:v>
      </x:c>
      <x:c r="L9" t="n">
        <x:v>1</x:v>
      </x:c>
      <x:c r="M9" t="n">
        <x:v>1</x:v>
      </x:c>
      <x:c r="N9" t="n">
        <x:v>1</x:v>
      </x:c>
      <x:c r="O9" t="n">
        <x:v>0</x:v>
      </x:c>
      <x:c r="P9" t="n">
        <x:v>0</x:v>
      </x:c>
      <x:c r="Q9" t="n">
        <x:v>0</x:v>
      </x:c>
      <x:c r="R9" t="n">
        <x:v>1</x:v>
      </x:c>
      <x:c r="S9" t="n">
        <x:v>0</x:v>
      </x:c>
      <x:c r="T9" t="n">
        <x:v>1</x:v>
      </x:c>
      <x:c r="U9" t="n">
        <x:v>0</x:v>
      </x:c>
    </x:row>
    <x:row r="10">
      <x:c r="A10" t="str">
        <x:v>Insignia Financial</x:v>
      </x:c>
      <x:c r="B10" t="str">
        <x:v>Head of AI Adoption &amp; Transformation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0</x:v>
      </x:c>
      <x:c r="I10" t="n">
        <x:v>0</x:v>
      </x:c>
      <x:c r="J10" t="n">
        <x:v>1</x:v>
      </x:c>
      <x:c r="K10" t="n">
        <x:v>0</x:v>
      </x:c>
      <x:c r="L10" t="n">
        <x:v>0</x:v>
      </x:c>
      <x:c r="M10" t="n">
        <x:v>1</x:v>
      </x:c>
      <x:c r="N10" t="n">
        <x:v>1</x:v>
      </x:c>
      <x:c r="O10" t="n">
        <x:v>1</x:v>
      </x:c>
      <x:c r="P10" t="n">
        <x:v>0</x:v>
      </x:c>
      <x:c r="Q10" t="n">
        <x:v>1</x:v>
      </x:c>
      <x:c r="R10" t="n">
        <x:v>1</x:v>
      </x:c>
      <x:c r="S10" t="n">
        <x:v>0</x:v>
      </x:c>
      <x:c r="T10" t="n">
        <x:v>1</x:v>
      </x:c>
      <x:c r="U10" t="n">
        <x:v>0</x:v>
      </x:c>
    </x:row>
    <x:row r="11">
      <x:c r="A11" t="str">
        <x:v>Bellroy</x:v>
      </x:c>
      <x:c r="B11" t="str">
        <x:v>AI Enablement Lead</x:v>
      </x:c>
      <x:c r="C11" t="n">
        <x:v>1</x:v>
      </x:c>
      <x:c r="D11" t="n">
        <x:v>0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1</x:v>
      </x:c>
      <x:c r="J11" t="n">
        <x:v>1</x:v>
      </x:c>
      <x:c r="K11" t="n">
        <x:v>1</x:v>
      </x:c>
      <x:c r="L11" t="n">
        <x:v>0</x:v>
      </x:c>
      <x:c r="M11" t="n">
        <x:v>0</x:v>
      </x:c>
      <x:c r="N11" t="n">
        <x:v>1</x:v>
      </x:c>
      <x:c r="O11" t="n">
        <x:v>1</x:v>
      </x:c>
      <x:c r="P11" t="n">
        <x:v>1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</x:row>
    <x:row r="12">
      <x:c r="A12" t="str">
        <x:v>CBRE Asia Pacific</x:v>
      </x:c>
      <x:c r="B12" t="str">
        <x:v>AI Adoption Lead</x:v>
      </x:c>
      <x:c r="C12" t="n">
        <x:v>1</x:v>
      </x:c>
      <x:c r="D12" t="n">
        <x:v>0</x:v>
      </x:c>
      <x:c r="E12" t="n">
        <x:v>1</x:v>
      </x:c>
      <x:c r="F12" t="n">
        <x:v>0</x:v>
      </x:c>
      <x:c r="G12" t="n">
        <x:v>1</x:v>
      </x:c>
      <x:c r="H12" t="n">
        <x:v>1</x:v>
      </x:c>
      <x:c r="I12" t="n">
        <x:v>1</x:v>
      </x:c>
      <x:c r="J12" t="n">
        <x:v>0</x:v>
      </x:c>
      <x:c r="K12" t="n">
        <x:v>1</x:v>
      </x:c>
      <x:c r="L12" t="n">
        <x:v>0</x:v>
      </x:c>
      <x:c r="M12" t="n">
        <x:v>1</x:v>
      </x:c>
      <x:c r="N12" t="n">
        <x:v>1</x:v>
      </x:c>
      <x:c r="O12" t="n">
        <x:v>0</x:v>
      </x:c>
      <x:c r="P12" t="n">
        <x:v>0</x:v>
      </x:c>
      <x:c r="Q12" t="n">
        <x:v>0</x:v>
      </x:c>
      <x:c r="R12" t="n">
        <x:v>1</x:v>
      </x:c>
      <x:c r="S12" t="n">
        <x:v>0</x:v>
      </x:c>
      <x:c r="T12" t="n">
        <x:v>0</x:v>
      </x:c>
      <x:c r="U12" t="n">
        <x:v>0</x:v>
      </x:c>
    </x:row>
    <x:row r="13">
      <x:c r="A13" t="str">
        <x:v>Deloitte Australia</x:v>
      </x:c>
      <x:c r="B13" t="str">
        <x:v>AI Value &amp; Adoption Lead - Director</x:v>
      </x:c>
      <x:c r="C13" t="n">
        <x:v>1</x:v>
      </x:c>
      <x:c r="D13" t="n">
        <x:v>1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</x:v>
      </x:c>
      <x:c r="N13" t="n">
        <x:v>1</x:v>
      </x:c>
      <x:c r="O13" t="n">
        <x:v>1</x:v>
      </x:c>
      <x:c r="P13" t="n">
        <x:v>0</x:v>
      </x:c>
      <x:c r="Q13" t="n">
        <x:v>0</x:v>
      </x:c>
      <x:c r="R13" t="n">
        <x:v>0</x:v>
      </x:c>
      <x:c r="S13" t="n">
        <x:v>1</x:v>
      </x:c>
      <x:c r="T13" t="n">
        <x:v>1</x:v>
      </x:c>
      <x:c r="U13" t="n">
        <x:v>1</x:v>
      </x:c>
    </x:row>
    <x:row r="14">
      <x:c r="A14" t="str">
        <x:v>David Jones</x:v>
      </x:c>
      <x:c r="B14" t="str">
        <x:v>AI Capability &amp; Enablement Lead</x:v>
      </x:c>
      <x:c r="C14" t="n">
        <x:v>1</x:v>
      </x:c>
      <x:c r="D14" t="n">
        <x:v>0</x:v>
      </x:c>
      <x:c r="E14" t="n">
        <x:v>0</x:v>
      </x:c>
      <x:c r="F14" t="n">
        <x:v>0</x:v>
      </x:c>
      <x:c r="G14" t="n">
        <x:v>1</x:v>
      </x:c>
      <x:c r="H14" t="n">
        <x:v>0</x:v>
      </x:c>
      <x:c r="I14" t="n">
        <x:v>1</x:v>
      </x:c>
      <x:c r="J14" t="n">
        <x:v>0</x:v>
      </x:c>
      <x:c r="K14" t="n">
        <x:v>1</x:v>
      </x:c>
      <x:c r="L14" t="n">
        <x:v>1</x:v>
      </x:c>
      <x:c r="M14" t="n">
        <x:v>1</x:v>
      </x:c>
      <x:c r="N14" t="n">
        <x:v>1</x:v>
      </x:c>
      <x:c r="O14" t="n">
        <x:v>0</x:v>
      </x:c>
      <x:c r="P14" t="n">
        <x:v>0</x:v>
      </x:c>
      <x:c r="Q14" t="n">
        <x:v>0</x:v>
      </x:c>
      <x:c r="R14" t="n">
        <x:v>1</x:v>
      </x:c>
      <x:c r="S14" t="n">
        <x:v>0</x:v>
      </x:c>
      <x:c r="T14" t="n">
        <x:v>0</x:v>
      </x:c>
      <x:c r="U14" t="n">
        <x:v>0</x:v>
      </x:c>
    </x:row>
    <x:row r="15">
      <x:c r="A15" t="str">
        <x:v>Techtronic Industries</x:v>
      </x:c>
      <x:c r="B15" t="str">
        <x:v>AI Governance &amp; Enablement Lead ANZ</x:v>
      </x:c>
      <x:c r="C15" t="n">
        <x:v>1</x:v>
      </x:c>
      <x:c r="D15" t="n">
        <x:v>1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1</x:v>
      </x:c>
      <x:c r="J15" t="n">
        <x:v>1</x:v>
      </x:c>
      <x:c r="K15" t="n">
        <x:v>0</x:v>
      </x:c>
      <x:c r="L15" t="n">
        <x:v>1</x:v>
      </x:c>
      <x:c r="M15" t="n">
        <x:v>1</x:v>
      </x:c>
      <x:c r="N15" t="n">
        <x:v>1</x:v>
      </x:c>
      <x:c r="O15" t="n">
        <x:v>0</x:v>
      </x:c>
      <x:c r="P15" t="n">
        <x:v>0</x:v>
      </x:c>
      <x:c r="Q15" t="n">
        <x:v>1</x:v>
      </x:c>
      <x:c r="R15" t="n">
        <x:v>0</x:v>
      </x:c>
      <x:c r="S15" t="n">
        <x:v>1</x:v>
      </x:c>
      <x:c r="T15" t="n">
        <x:v>1</x:v>
      </x:c>
      <x:c r="U15" t="n">
        <x:v>0</x:v>
      </x:c>
    </x:row>
    <x:row r="16">
      <x:c r="A16" t="str">
        <x:v>Insentra</x:v>
      </x:c>
      <x:c r="B16" t="str">
        <x:v>AI Adoption Lead</x:v>
      </x:c>
      <x:c r="C16" t="n">
        <x:v>1</x:v>
      </x:c>
      <x:c r="D16" t="n">
        <x:v>1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1</x:v>
      </x:c>
      <x:c r="M16" t="n">
        <x:v>1</x:v>
      </x:c>
      <x:c r="N16" t="n">
        <x:v>1</x:v>
      </x:c>
      <x:c r="O16" t="n">
        <x:v>0</x:v>
      </x:c>
      <x:c r="P16" t="n">
        <x:v>0</x:v>
      </x:c>
      <x:c r="Q16" t="n">
        <x:v>0</x:v>
      </x:c>
      <x:c r="R16" t="n">
        <x:v>1</x:v>
      </x:c>
      <x:c r="S16" t="n">
        <x:v>1</x:v>
      </x:c>
      <x:c r="T16" t="n">
        <x:v>1</x:v>
      </x:c>
      <x:c r="U16" t="n">
        <x:v>0</x:v>
      </x:c>
    </x:row>
    <x:row r="17">
      <x:c r="A17" t="str">
        <x:v>Icon Group</x:v>
      </x:c>
      <x:c r="B17" t="str">
        <x:v>Project Trainer - National Heidi AI Adoption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1</x:v>
      </x:c>
      <x:c r="H17" t="n">
        <x:v>1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1</x:v>
      </x:c>
      <x:c r="N17" t="n">
        <x:v>1</x:v>
      </x:c>
      <x:c r="O17" t="n">
        <x:v>0</x:v>
      </x:c>
      <x:c r="P17" t="n">
        <x:v>0</x:v>
      </x:c>
      <x:c r="Q17" t="n">
        <x:v>0</x:v>
      </x:c>
      <x:c r="R17" t="n">
        <x:v>1</x:v>
      </x:c>
      <x:c r="S17" t="n">
        <x:v>1</x:v>
      </x:c>
      <x:c r="T17" t="n">
        <x:v>0</x:v>
      </x:c>
      <x:c r="U17" t="n">
        <x:v>0</x:v>
      </x:c>
    </x:row>
    <x:row r="18">
      <x:c r="A18" t="str">
        <x:v>MinterEllison</x:v>
      </x:c>
      <x:c r="B18" t="str">
        <x:v>Senior Manager Optimisation &amp; AI Enablement</x:v>
      </x:c>
      <x:c r="C18" t="n">
        <x:v>1</x:v>
      </x:c>
      <x:c r="D18" t="n">
        <x:v>1</x:v>
      </x:c>
      <x:c r="E18" t="n">
        <x:v>1</x:v>
      </x:c>
      <x:c r="F18" t="n">
        <x:v>1</x:v>
      </x:c>
      <x:c r="G18" t="n">
        <x:v>0</x:v>
      </x:c>
      <x:c r="H18" t="n">
        <x:v>0</x:v>
      </x:c>
      <x:c r="I18" t="n">
        <x:v>0</x:v>
      </x:c>
      <x:c r="J18" t="n">
        <x:v>1</x:v>
      </x:c>
      <x:c r="K18" t="n">
        <x:v>0</x:v>
      </x:c>
      <x:c r="L18" t="n">
        <x:v>0</x:v>
      </x:c>
      <x:c r="M18" t="n">
        <x:v>1</x:v>
      </x:c>
      <x:c r="N18" t="n">
        <x:v>1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1</x:v>
      </x:c>
      <x:c r="T18" t="n">
        <x:v>0</x:v>
      </x:c>
      <x:c r="U18" t="n">
        <x:v>0</x:v>
      </x:c>
    </x:row>
    <x:row r="19">
      <x:c r="A19" t="str">
        <x:v>Thomsons Lawyers</x:v>
      </x:c>
      <x:c r="B19" t="str">
        <x:v>Technology &amp; AI Trainer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1</x:v>
      </x:c>
      <x:c r="H19" t="n">
        <x:v>1</x:v>
      </x:c>
      <x:c r="I19" t="n">
        <x:v>1</x:v>
      </x:c>
      <x:c r="J19" t="n">
        <x:v>1</x:v>
      </x:c>
      <x:c r="K19" t="n">
        <x:v>1</x:v>
      </x:c>
      <x:c r="L19" t="n">
        <x:v>0</x:v>
      </x:c>
      <x:c r="M19" t="n">
        <x:v>1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</x:row>
    <x:row r="20">
      <x:c r="A20" t="str">
        <x:v>Team 400</x:v>
      </x:c>
      <x:c r="B20" t="str">
        <x:v>AI Trainer &amp; AI Agent Consultant</x:v>
      </x:c>
      <x:c r="C20" t="n">
        <x:v>1</x:v>
      </x:c>
      <x:c r="D20" t="n">
        <x:v>0</x:v>
      </x:c>
      <x:c r="E20" t="n">
        <x:v>1</x:v>
      </x:c>
      <x:c r="F20" t="n">
        <x:v>1</x:v>
      </x:c>
      <x:c r="G20" t="n">
        <x:v>1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1</x:v>
      </x:c>
      <x:c r="N20" t="n">
        <x:v>1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1</x:v>
      </x:c>
      <x:c r="T20" t="n">
        <x:v>0</x:v>
      </x:c>
      <x:c r="U20" t="n">
        <x:v>0</x:v>
      </x:c>
    </x:row>
    <x:row r="21">
      <x:c r="A21" t="str">
        <x:v>Epiphany Training + Consulting</x:v>
      </x:c>
      <x:c r="B21" t="str">
        <x:v>AI Consultant</x:v>
      </x:c>
      <x:c r="C21" t="n">
        <x:v>1</x:v>
      </x:c>
      <x:c r="D21" t="n">
        <x:v>0</x:v>
      </x:c>
      <x:c r="E21" t="n">
        <x:v>0</x:v>
      </x:c>
      <x:c r="F21" t="n">
        <x:v>0</x:v>
      </x:c>
      <x:c r="G21" t="n">
        <x:v>1</x:v>
      </x:c>
      <x:c r="H21" t="n">
        <x:v>0</x:v>
      </x:c>
      <x:c r="I21" t="n">
        <x:v>1</x:v>
      </x:c>
      <x:c r="J21" t="n">
        <x:v>1</x:v>
      </x:c>
      <x:c r="K21" t="n">
        <x:v>1</x:v>
      </x:c>
      <x:c r="L21" t="n">
        <x:v>0</x:v>
      </x:c>
      <x:c r="M21" t="n">
        <x:v>1</x:v>
      </x:c>
      <x:c r="N21" t="n">
        <x:v>1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</x:row>
    <x:row r="22">
      <x:c r="A22" t="str">
        <x:v>Australian Retirement Trust</x:v>
      </x:c>
      <x:c r="B22" t="str">
        <x:v>Manager - AI Governance</x:v>
      </x:c>
      <x:c r="C22" t="n">
        <x:v>0</x:v>
      </x:c>
      <x:c r="D22" t="n">
        <x:v>1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1</x:v>
      </x:c>
      <x:c r="K22" t="n">
        <x:v>0</x:v>
      </x:c>
      <x:c r="L22" t="n">
        <x:v>0</x:v>
      </x:c>
      <x:c r="M22" t="n">
        <x:v>1</x:v>
      </x:c>
      <x:c r="N22" t="n">
        <x:v>1</x:v>
      </x:c>
      <x:c r="O22" t="n">
        <x:v>1</x:v>
      </x:c>
      <x:c r="P22" t="n">
        <x:v>0</x:v>
      </x:c>
      <x:c r="Q22" t="n">
        <x:v>1</x:v>
      </x:c>
      <x:c r="R22" t="n">
        <x:v>0</x:v>
      </x:c>
      <x:c r="S22" t="n">
        <x:v>1</x:v>
      </x:c>
      <x:c r="T22" t="n">
        <x:v>1</x:v>
      </x:c>
      <x:c r="U22" t="n">
        <x:v>0</x:v>
      </x:c>
    </x:row>
    <x:row r="23">
      <x:c r="A23" t="str">
        <x:v>Australian Retirement Trust</x:v>
      </x:c>
      <x:c r="B23" t="str">
        <x:v>AI Governance Specialist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1</x:v>
      </x:c>
      <x:c r="K23" t="n">
        <x:v>1</x:v>
      </x:c>
      <x:c r="L23" t="n">
        <x:v>0</x:v>
      </x:c>
      <x:c r="M23" t="n">
        <x:v>0</x:v>
      </x:c>
      <x:c r="N23" t="n">
        <x:v>0</x:v>
      </x:c>
      <x:c r="O23" t="n">
        <x:v>1</x:v>
      </x:c>
      <x:c r="P23" t="n">
        <x:v>0</x:v>
      </x:c>
      <x:c r="Q23" t="n">
        <x:v>1</x:v>
      </x:c>
      <x:c r="R23" t="n">
        <x:v>0</x:v>
      </x:c>
      <x:c r="S23" t="n">
        <x:v>1</x:v>
      </x:c>
      <x:c r="T23" t="n">
        <x:v>0</x:v>
      </x:c>
      <x:c r="U23" t="n">
        <x:v>0</x:v>
      </x:c>
    </x:row>
    <x:row r="24">
      <x:c r="A24" t="str">
        <x:v>Australian Financial Complaints Authority</x:v>
      </x:c>
      <x:c r="B24" t="str">
        <x:v>Manager, AI Governance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1</x:v>
      </x:c>
      <x:c r="K24" t="n">
        <x:v>0</x:v>
      </x:c>
      <x:c r="L24" t="n">
        <x:v>0</x:v>
      </x:c>
      <x:c r="M24" t="n">
        <x:v>1</x:v>
      </x:c>
      <x:c r="N24" t="n">
        <x:v>1</x:v>
      </x:c>
      <x:c r="O24" t="n">
        <x:v>0</x:v>
      </x:c>
      <x:c r="P24" t="n">
        <x:v>0</x:v>
      </x:c>
      <x:c r="Q24" t="n">
        <x:v>1</x:v>
      </x:c>
      <x:c r="R24" t="n">
        <x:v>0</x:v>
      </x:c>
      <x:c r="S24" t="n">
        <x:v>1</x:v>
      </x:c>
      <x:c r="T24" t="n">
        <x:v>1</x:v>
      </x:c>
      <x:c r="U24" t="n">
        <x:v>0</x:v>
      </x:c>
    </x:row>
    <x:row r="25">
      <x:c r="A25" t="str">
        <x:v>Great Southern Bank</x:v>
      </x:c>
      <x:c r="B25" t="str">
        <x:v>Data and AI Governance Specialist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1</x:v>
      </x:c>
      <x:c r="K25" t="n">
        <x:v>1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1</x:v>
      </x:c>
      <x:c r="R25" t="n">
        <x:v>0</x:v>
      </x:c>
      <x:c r="S25" t="n">
        <x:v>1</x:v>
      </x:c>
      <x:c r="T25" t="n">
        <x:v>1</x:v>
      </x:c>
      <x:c r="U25" t="n">
        <x:v>0</x:v>
      </x:c>
    </x:row>
    <x:row r="26">
      <x:c r="A26" t="str">
        <x:v>NSW Department of Customer Service</x:v>
      </x:c>
      <x:c r="B26" t="str">
        <x:v>Manager, Data &amp; AI Governance</x:v>
      </x:c>
      <x:c r="C26" t="n">
        <x:v>0</x:v>
      </x:c>
      <x:c r="D26" t="n">
        <x:v>1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1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1</x:v>
      </x:c>
      <x:c r="P26" t="n">
        <x:v>0</x:v>
      </x:c>
      <x:c r="Q26" t="n">
        <x:v>1</x:v>
      </x:c>
      <x:c r="R26" t="n">
        <x:v>0</x:v>
      </x:c>
      <x:c r="S26" t="n">
        <x:v>1</x:v>
      </x:c>
      <x:c r="T26" t="n">
        <x:v>1</x:v>
      </x:c>
      <x:c r="U26" t="n">
        <x:v>0</x:v>
      </x:c>
    </x:row>
    <x:row r="27">
      <x:c r="A27" t="str">
        <x:v>Central Land Council</x:v>
      </x:c>
      <x:c r="B27" t="str">
        <x:v>PM009 - AI Specialist</x:v>
      </x:c>
      <x:c r="C27" t="n">
        <x:v>1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1</x:v>
      </x:c>
      <x:c r="I27" t="n">
        <x:v>0</x:v>
      </x:c>
      <x:c r="J27" t="n">
        <x:v>1</x:v>
      </x:c>
      <x:c r="K27" t="n">
        <x:v>0</x:v>
      </x:c>
      <x:c r="L27" t="n">
        <x:v>0</x:v>
      </x:c>
      <x:c r="M27" t="n">
        <x:v>1</x:v>
      </x:c>
      <x:c r="N27" t="n">
        <x:v>1</x:v>
      </x:c>
      <x:c r="O27" t="n">
        <x:v>0</x:v>
      </x:c>
      <x:c r="P27" t="n">
        <x:v>0</x:v>
      </x:c>
      <x:c r="Q27" t="n">
        <x:v>1</x:v>
      </x:c>
      <x:c r="R27" t="n">
        <x:v>0</x:v>
      </x:c>
      <x:c r="S27" t="n">
        <x:v>1</x:v>
      </x:c>
      <x:c r="T27" t="n">
        <x:v>0</x:v>
      </x:c>
      <x:c r="U27" t="n">
        <x:v>0</x:v>
      </x:c>
    </x:row>
    <x:row r="28">
      <x:c r="A28" t="str">
        <x:v>City of Stonnington</x:v>
      </x:c>
      <x:c r="B28" t="str">
        <x:v>AI Enablement Lead</x:v>
      </x:c>
      <x:c r="C28" t="n">
        <x:v>1</x:v>
      </x:c>
      <x:c r="D28" t="n">
        <x:v>0</x:v>
      </x:c>
      <x:c r="E28" t="n">
        <x:v>1</x:v>
      </x:c>
      <x:c r="F28" t="n">
        <x:v>0</x:v>
      </x:c>
      <x:c r="G28" t="n">
        <x:v>1</x:v>
      </x:c>
      <x:c r="H28" t="n">
        <x:v>0</x:v>
      </x:c>
      <x:c r="I28" t="n">
        <x:v>1</x:v>
      </x:c>
      <x:c r="J28" t="n">
        <x:v>1</x:v>
      </x:c>
      <x:c r="K28" t="n">
        <x:v>0</x:v>
      </x:c>
      <x:c r="L28" t="n">
        <x:v>0</x:v>
      </x:c>
      <x:c r="M28" t="n">
        <x:v>1</x:v>
      </x:c>
      <x:c r="N28" t="n">
        <x:v>1</x:v>
      </x:c>
      <x:c r="O28" t="n">
        <x:v>0</x:v>
      </x:c>
      <x:c r="P28" t="n">
        <x:v>0</x:v>
      </x:c>
      <x:c r="Q28" t="n">
        <x:v>0</x:v>
      </x:c>
      <x:c r="R28" t="n">
        <x:v>1</x:v>
      </x:c>
      <x:c r="S28" t="n">
        <x:v>0</x:v>
      </x:c>
      <x:c r="T28" t="n">
        <x:v>0</x:v>
      </x:c>
      <x:c r="U28" t="n">
        <x:v>0</x:v>
      </x:c>
    </x:row>
    <x:row r="29">
      <x:c r="A29" t="str">
        <x:v>Wesfarmers Chemicals, Energy &amp; Fertilisers</x:v>
      </x:c>
      <x:c r="B29" t="str">
        <x:v>Digital Enablement Specialist (AI Transformation)</x:v>
      </x:c>
      <x:c r="C29" t="n">
        <x:v>1</x:v>
      </x:c>
      <x:c r="D29" t="n">
        <x:v>1</x:v>
      </x:c>
      <x:c r="E29" t="n">
        <x:v>1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1</x:v>
      </x:c>
      <x:c r="K29" t="n">
        <x:v>0</x:v>
      </x:c>
      <x:c r="L29" t="n">
        <x:v>0</x:v>
      </x:c>
      <x:c r="M29" t="n">
        <x:v>1</x:v>
      </x:c>
      <x:c r="N29" t="n">
        <x:v>1</x:v>
      </x:c>
      <x:c r="O29" t="n">
        <x:v>0</x:v>
      </x:c>
      <x:c r="P29" t="n">
        <x:v>0</x:v>
      </x:c>
      <x:c r="Q29" t="n">
        <x:v>0</x:v>
      </x:c>
      <x:c r="R29" t="n">
        <x:v>1</x:v>
      </x:c>
      <x:c r="S29" t="n">
        <x:v>1</x:v>
      </x:c>
      <x:c r="T29" t="n">
        <x:v>0</x:v>
      </x:c>
      <x:c r="U29" t="n">
        <x:v>0</x:v>
      </x:c>
    </x:row>
    <x:row r="30">
      <x:c r="A30" t="str">
        <x:v>Victorian Department of Energy, Environment and Climate Action</x:v>
      </x:c>
      <x:c r="B30" t="str">
        <x:v>AI &amp; Data Lead</x:v>
      </x:c>
      <x:c r="C30" t="n">
        <x:v>1</x:v>
      </x:c>
      <x:c r="D30" t="n">
        <x:v>1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1</x:v>
      </x:c>
      <x:c r="K30" t="n">
        <x:v>0</x:v>
      </x:c>
      <x:c r="L30" t="n">
        <x:v>0</x:v>
      </x:c>
      <x:c r="M30" t="n">
        <x:v>0</x:v>
      </x:c>
      <x:c r="N30" t="n">
        <x:v>1</x:v>
      </x:c>
      <x:c r="O30" t="n">
        <x:v>0</x:v>
      </x:c>
      <x:c r="P30" t="n">
        <x:v>0</x:v>
      </x:c>
      <x:c r="Q30" t="n">
        <x:v>1</x:v>
      </x:c>
      <x:c r="R30" t="n">
        <x:v>0</x:v>
      </x:c>
      <x:c r="S30" t="n">
        <x:v>1</x:v>
      </x:c>
      <x:c r="T30" t="n">
        <x:v>1</x:v>
      </x:c>
      <x:c r="U30" t="n">
        <x:v>0</x:v>
      </x:c>
    </x:row>
    <x:row r="31">
      <x:c r="A31" t="str">
        <x:v>Victorian Department of Energy, Environment and Climate Action</x:v>
      </x:c>
      <x:c r="B31" t="str">
        <x:v>Artificial Intelligence (AI) Technical Specialist</x:v>
      </x:c>
      <x:c r="C31" t="n">
        <x:v>0</x:v>
      </x:c>
      <x:c r="D31" t="n">
        <x:v>0</x:v>
      </x:c>
      <x:c r="E31" t="n">
        <x:v>1</x:v>
      </x:c>
      <x:c r="F31" t="n">
        <x:v>1</x:v>
      </x:c>
      <x:c r="G31" t="n">
        <x:v>0</x:v>
      </x:c>
      <x:c r="H31" t="n">
        <x:v>1</x:v>
      </x:c>
      <x:c r="I31" t="n">
        <x:v>0</x:v>
      </x:c>
      <x:c r="J31" t="n">
        <x:v>1</x:v>
      </x:c>
      <x:c r="K31" t="n">
        <x:v>1</x:v>
      </x:c>
      <x:c r="L31" t="n">
        <x:v>0</x:v>
      </x:c>
      <x:c r="M31" t="n">
        <x:v>0</x:v>
      </x:c>
      <x:c r="N31" t="n">
        <x:v>0</x:v>
      </x:c>
      <x:c r="O31" t="n">
        <x:v>1</x:v>
      </x:c>
      <x:c r="P31" t="n">
        <x:v>0</x:v>
      </x:c>
      <x:c r="Q31" t="n">
        <x:v>0</x:v>
      </x:c>
      <x:c r="R31" t="n">
        <x:v>0</x:v>
      </x:c>
      <x:c r="S31" t="n">
        <x:v>1</x:v>
      </x:c>
      <x:c r="T31" t="n">
        <x:v>0</x:v>
      </x:c>
      <x:c r="U31" t="n">
        <x:v>0</x:v>
      </x:c>
    </x:row>
    <x:row r="32">
      <x:c r="A32" t="str">
        <x:v>City of Whittlesea</x:v>
      </x:c>
      <x:c r="B32" t="str">
        <x:v>AI Solutions Officer</x:v>
      </x:c>
      <x:c r="C32" t="n">
        <x:v>1</x:v>
      </x:c>
      <x:c r="D32" t="n">
        <x:v>1</x:v>
      </x:c>
      <x:c r="E32" t="n">
        <x:v>1</x:v>
      </x:c>
      <x:c r="F32" t="n">
        <x:v>1</x:v>
      </x:c>
      <x:c r="G32" t="n">
        <x:v>0</x:v>
      </x:c>
      <x:c r="H32" t="n">
        <x:v>0</x:v>
      </x:c>
      <x:c r="I32" t="n">
        <x:v>0</x:v>
      </x:c>
      <x:c r="J32" t="n">
        <x:v>1</x:v>
      </x:c>
      <x:c r="K32" t="n">
        <x:v>0</x:v>
      </x:c>
      <x:c r="L32" t="n">
        <x:v>0</x:v>
      </x:c>
      <x:c r="M32" t="n">
        <x:v>1</x:v>
      </x:c>
      <x:c r="N32" t="n">
        <x:v>1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1</x:v>
      </x:c>
      <x:c r="T32" t="n">
        <x:v>0</x:v>
      </x:c>
      <x:c r="U32" t="n">
        <x:v>0</x:v>
      </x:c>
    </x:row>
    <x:row r="33">
      <x:c r="A33" t="str">
        <x:v>Australian Renewable Energy Agency (ARENA)</x:v>
      </x:c>
      <x:c r="B33" t="str">
        <x:v>Applications and AI Lead</x:v>
      </x:c>
      <x:c r="C33" t="n">
        <x:v>1</x:v>
      </x:c>
      <x:c r="D33" t="n">
        <x:v>1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1</x:v>
      </x:c>
      <x:c r="O33" t="n">
        <x:v>1</x:v>
      </x:c>
      <x:c r="P33" t="n">
        <x:v>0</x:v>
      </x:c>
      <x:c r="Q33" t="n">
        <x:v>1</x:v>
      </x:c>
      <x:c r="R33" t="n">
        <x:v>0</x:v>
      </x:c>
      <x:c r="S33" t="n">
        <x:v>1</x:v>
      </x:c>
      <x:c r="T33" t="n">
        <x:v>1</x:v>
      </x:c>
      <x:c r="U33" t="n">
        <x:v>1</x:v>
      </x:c>
    </x:row>
    <x:row r="34">
      <x:c r="A34" t="str">
        <x:v>CBRE Advisory</x:v>
      </x:c>
      <x:c r="B34" t="str">
        <x:v>AI Analytics Lead</x:v>
      </x:c>
      <x:c r="C34" t="n">
        <x:v>1</x:v>
      </x:c>
      <x:c r="D34" t="n">
        <x:v>1</x:v>
      </x:c>
      <x:c r="E34" t="n">
        <x:v>1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1</x:v>
      </x:c>
      <x:c r="O34" t="n">
        <x:v>1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1</x:v>
      </x:c>
      <x:c r="U34" t="n">
        <x:v>0</x:v>
      </x:c>
    </x:row>
    <x:row r="35">
      <x:c r="A35" t="str">
        <x:v>RSM Australia</x:v>
      </x:c>
      <x:c r="B35" t="str">
        <x:v>Data Analytics &amp; AI Manager</x:v>
      </x:c>
      <x:c r="C35" t="n">
        <x:v>1</x:v>
      </x:c>
      <x:c r="D35" t="n">
        <x:v>1</x:v>
      </x:c>
      <x:c r="E35" t="n">
        <x:v>1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1</x:v>
      </x:c>
      <x:c r="K35" t="n">
        <x:v>0</x:v>
      </x:c>
      <x:c r="L35" t="n">
        <x:v>0</x:v>
      </x:c>
      <x:c r="M35" t="n">
        <x:v>1</x:v>
      </x:c>
      <x:c r="N35" t="n">
        <x:v>1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1</x:v>
      </x:c>
      <x:c r="T35" t="n">
        <x:v>1</x:v>
      </x:c>
      <x:c r="U35" t="n">
        <x:v>0</x:v>
      </x:c>
    </x:row>
    <x:row r="36">
      <x:c r="A36" t="str">
        <x:v>Hays client (unnamed)</x:v>
      </x:c>
      <x:c r="B36" t="str">
        <x:v>Technology &amp; AI Trainer</x:v>
      </x:c>
      <x:c r="C36" t="n">
        <x:v>1</x:v>
      </x:c>
      <x:c r="D36" t="n">
        <x:v>0</x:v>
      </x:c>
      <x:c r="E36" t="n">
        <x:v>0</x:v>
      </x:c>
      <x:c r="F36" t="n">
        <x:v>0</x:v>
      </x:c>
      <x:c r="G36" t="n">
        <x:v>1</x:v>
      </x:c>
      <x:c r="H36" t="n">
        <x:v>1</x:v>
      </x:c>
      <x:c r="I36" t="n">
        <x:v>1</x:v>
      </x:c>
      <x:c r="J36" t="n">
        <x:v>0</x:v>
      </x:c>
      <x:c r="K36" t="n">
        <x:v>0</x:v>
      </x:c>
      <x:c r="L36" t="n">
        <x:v>0</x:v>
      </x:c>
      <x:c r="M36" t="n">
        <x:v>1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1</x:v>
      </x:c>
      <x:c r="S36" t="n">
        <x:v>0</x:v>
      </x:c>
      <x:c r="T36" t="n">
        <x:v>0</x:v>
      </x:c>
      <x:c r="U36" t="n">
        <x:v>0</x:v>
      </x:c>
    </x:row>
    <x:row r="37">
      <x:c r="A37" t="str">
        <x:v>Private ASX 150 organisation</x:v>
      </x:c>
      <x:c r="B37" t="str">
        <x:v>AI Academy Lead | AI Training, Adoption &amp; Enablement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1</x:v>
      </x:c>
      <x:c r="H37" t="n">
        <x:v>0</x:v>
      </x:c>
      <x:c r="I37" t="n">
        <x:v>1</x:v>
      </x:c>
      <x:c r="J37" t="n">
        <x:v>0</x:v>
      </x:c>
      <x:c r="K37" t="n">
        <x:v>1</x:v>
      </x:c>
      <x:c r="L37" t="n">
        <x:v>1</x:v>
      </x:c>
      <x:c r="M37" t="n">
        <x:v>1</x:v>
      </x:c>
      <x:c r="N37" t="n">
        <x:v>1</x:v>
      </x:c>
      <x:c r="O37" t="n">
        <x:v>0</x:v>
      </x:c>
      <x:c r="P37" t="n">
        <x:v>0</x:v>
      </x:c>
      <x:c r="Q37" t="n">
        <x:v>0</x:v>
      </x:c>
      <x:c r="R37" t="n">
        <x:v>1</x:v>
      </x:c>
      <x:c r="S37" t="n">
        <x:v>0</x:v>
      </x:c>
      <x:c r="T37" t="n">
        <x:v>0</x:v>
      </x:c>
      <x:c r="U37" t="n">
        <x:v>0</x:v>
      </x:c>
    </x:row>
    <x:row r="38">
      <x:c r="A38" t="str">
        <x:v>empire group client (national law firm)</x:v>
      </x:c>
      <x:c r="B38" t="str">
        <x:v>Legal AI Lead</x:v>
      </x:c>
      <x:c r="C38" t="n">
        <x:v>1</x:v>
      </x:c>
      <x:c r="D38" t="n">
        <x:v>0</x:v>
      </x:c>
      <x:c r="E38" t="n">
        <x:v>1</x:v>
      </x:c>
      <x:c r="F38" t="n">
        <x:v>1</x:v>
      </x:c>
      <x:c r="G38" t="n">
        <x:v>1</x:v>
      </x:c>
      <x:c r="H38" t="n">
        <x:v>0</x:v>
      </x:c>
      <x:c r="I38" t="n">
        <x:v>1</x:v>
      </x:c>
      <x:c r="J38" t="n">
        <x:v>1</x:v>
      </x:c>
      <x:c r="K38" t="n">
        <x:v>1</x:v>
      </x:c>
      <x:c r="L38" t="n">
        <x:v>0</x:v>
      </x:c>
      <x:c r="M38" t="n">
        <x:v>1</x:v>
      </x:c>
      <x:c r="N38" t="n">
        <x:v>1</x:v>
      </x:c>
      <x:c r="O38" t="n">
        <x:v>1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</x:row>
    <x:row r="39">
      <x:c r="A39" t="str">
        <x:v>empire group client (national law firm)</x:v>
      </x:c>
      <x:c r="B39" t="str">
        <x:v>Legal AI Engineer</x:v>
      </x:c>
      <x:c r="C39" t="n">
        <x:v>0</x:v>
      </x:c>
      <x:c r="D39" t="n">
        <x:v>0</x:v>
      </x:c>
      <x:c r="E39" t="n">
        <x:v>1</x:v>
      </x:c>
      <x:c r="F39" t="n">
        <x:v>1</x:v>
      </x:c>
      <x:c r="G39" t="n">
        <x:v>0</x:v>
      </x:c>
      <x:c r="H39" t="n">
        <x:v>0</x:v>
      </x:c>
      <x:c r="I39" t="n">
        <x:v>0</x:v>
      </x:c>
      <x:c r="J39" t="n">
        <x:v>1</x:v>
      </x:c>
      <x:c r="K39" t="n">
        <x:v>1</x:v>
      </x:c>
      <x:c r="L39" t="n">
        <x:v>0</x:v>
      </x:c>
      <x:c r="M39" t="n">
        <x:v>1</x:v>
      </x:c>
      <x:c r="N39" t="n">
        <x:v>0</x:v>
      </x:c>
      <x:c r="O39" t="n">
        <x:v>1</x:v>
      </x:c>
      <x:c r="P39" t="n">
        <x:v>0</x:v>
      </x:c>
      <x:c r="Q39" t="n">
        <x:v>0</x:v>
      </x:c>
      <x:c r="R39" t="n">
        <x:v>0</x:v>
      </x:c>
      <x:c r="S39" t="n">
        <x:v>1</x:v>
      </x:c>
      <x:c r="T39" t="n">
        <x:v>0</x:v>
      </x:c>
      <x:c r="U39" t="n">
        <x:v>0</x:v>
      </x:c>
    </x:row>
    <x:row r="40">
      <x:c r="A40" t="str">
        <x:v>empire group client (leading law firm)</x:v>
      </x:c>
      <x:c r="B40" t="str">
        <x:v>Technology Trainer x2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1</x:v>
      </x:c>
      <x:c r="H40" t="n">
        <x:v>1</x:v>
      </x:c>
      <x:c r="I40" t="n">
        <x:v>1</x:v>
      </x:c>
      <x:c r="J40" t="n">
        <x:v>1</x:v>
      </x:c>
      <x:c r="K40" t="n">
        <x:v>1</x:v>
      </x:c>
      <x:c r="L40" t="n">
        <x:v>0</x:v>
      </x:c>
      <x:c r="M40" t="n">
        <x:v>1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</x:row>
    <x:row r="41">
      <x:c r="A41" t="str">
        <x:v>Private commercial law firm</x:v>
      </x:c>
      <x:c r="B41" t="str">
        <x:v>Legal AI Lead</x:v>
      </x:c>
      <x:c r="C41" t="n">
        <x:v>1</x:v>
      </x:c>
      <x:c r="D41" t="n">
        <x:v>0</x:v>
      </x:c>
      <x:c r="E41" t="n">
        <x:v>1</x:v>
      </x:c>
      <x:c r="F41" t="n">
        <x:v>1</x:v>
      </x:c>
      <x:c r="G41" t="n">
        <x:v>1</x:v>
      </x:c>
      <x:c r="H41" t="n">
        <x:v>0</x:v>
      </x:c>
      <x:c r="I41" t="n">
        <x:v>0</x:v>
      </x:c>
      <x:c r="J41" t="n">
        <x:v>1</x:v>
      </x:c>
      <x:c r="K41" t="n">
        <x:v>1</x:v>
      </x:c>
      <x:c r="L41" t="n">
        <x:v>0</x:v>
      </x:c>
      <x:c r="M41" t="n">
        <x:v>1</x:v>
      </x:c>
      <x:c r="N41" t="n">
        <x:v>1</x:v>
      </x:c>
      <x:c r="O41" t="n">
        <x:v>1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</x:row>
    <x:row r="42">
      <x:c r="A42" t="str">
        <x:v>Talent client (government agency)</x:v>
      </x:c>
      <x:c r="B42" t="str">
        <x:v>AI Enablement Lead</x:v>
      </x:c>
      <x:c r="C42" t="n">
        <x:v>1</x:v>
      </x:c>
      <x:c r="D42" t="n">
        <x:v>0</x:v>
      </x:c>
      <x:c r="E42" t="n">
        <x:v>0</x:v>
      </x:c>
      <x:c r="F42" t="n">
        <x:v>0</x:v>
      </x:c>
      <x:c r="G42" t="n">
        <x:v>1</x:v>
      </x:c>
      <x:c r="H42" t="n">
        <x:v>0</x:v>
      </x:c>
      <x:c r="I42" t="n">
        <x:v>1</x:v>
      </x:c>
      <x:c r="J42" t="n">
        <x:v>1</x:v>
      </x:c>
      <x:c r="K42" t="n">
        <x:v>0</x:v>
      </x:c>
      <x:c r="L42" t="n">
        <x:v>0</x:v>
      </x:c>
      <x:c r="M42" t="n">
        <x:v>1</x:v>
      </x:c>
      <x:c r="N42" t="n">
        <x:v>1</x:v>
      </x:c>
      <x:c r="O42" t="n">
        <x:v>0</x:v>
      </x:c>
      <x:c r="P42" t="n">
        <x:v>0</x:v>
      </x:c>
      <x:c r="Q42" t="n">
        <x:v>0</x:v>
      </x:c>
      <x:c r="R42" t="n">
        <x:v>1</x:v>
      </x:c>
      <x:c r="S42" t="n">
        <x:v>1</x:v>
      </x:c>
      <x:c r="T42" t="n">
        <x:v>0</x:v>
      </x:c>
      <x:c r="U42" t="n">
        <x:v>0</x:v>
      </x:c>
    </x:row>
    <x:row r="43">
      <x:c r="A43" t="str">
        <x:v>Talent client</x:v>
      </x:c>
      <x:c r="B43" t="str">
        <x:v>AI Enablement Engineer</x:v>
      </x:c>
      <x:c r="C43" t="n">
        <x:v>1</x:v>
      </x:c>
      <x:c r="D43" t="n">
        <x:v>0</x:v>
      </x:c>
      <x:c r="E43" t="n">
        <x:v>1</x:v>
      </x:c>
      <x:c r="F43" t="n">
        <x:v>1</x:v>
      </x:c>
      <x:c r="G43" t="n">
        <x:v>0</x:v>
      </x:c>
      <x:c r="H43" t="n">
        <x:v>0</x:v>
      </x:c>
      <x:c r="I43" t="n">
        <x:v>0</x:v>
      </x:c>
      <x:c r="J43" t="n">
        <x:v>1</x:v>
      </x:c>
      <x:c r="K43" t="n">
        <x:v>1</x:v>
      </x:c>
      <x:c r="L43" t="n">
        <x:v>0</x:v>
      </x:c>
      <x:c r="M43" t="n">
        <x:v>1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1</x:v>
      </x:c>
      <x:c r="T43" t="n">
        <x:v>0</x:v>
      </x:c>
      <x:c r="U43" t="n">
        <x:v>0</x:v>
      </x:c>
    </x:row>
  </x:sheetData>
  <x:conditionalFormatting sqref="C2:U43">
    <x:cfRule type="colorScale" priority="1">
      <x:colorScale>
        <x:cfvo type="min"/>
        <x:cfvo type="percentile" val="50"/>
        <x:cfvo type="max"/>
        <x:color rgb="FFFFFFFF"/>
        <x:color rgb="FFDCE6F1"/>
        <x:color rgb="FF4F81B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468d9d4e5e54ff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38" hidden="0" customWidth="1"/>
    <x:col min="4" max="4" width="48" hidden="0" customWidth="1"/>
    <x:col min="5" max="5" width="40" hidden="0" customWidth="1"/>
    <x:col min="6" max="6" width="44" hidden="0" customWidth="1"/>
    <x:col min="7" max="7" width="30" hidden="0" customWidth="1"/>
    <x:col min="8" max="8" width="58" hidden="0" customWidth="1"/>
    <x:col min="9" max="9" width="52" hidden="0" customWidth="1"/>
    <x:col min="10" max="10" width="16" hidden="0" customWidth="1"/>
    <x:col min="11" max="11" width="16" hidden="0" customWidth="1"/>
    <x:col min="12" max="12" width="18" hidden="0" customWidth="1"/>
  </x:cols>
  <x:sheetData>
    <x:row r="1">
      <x:c r="A1" s="17" t="str">
        <x:v>Priority</x:v>
      </x:c>
      <x:c r="B1" s="17" t="str">
        <x:v>Company</x:v>
      </x:c>
      <x:c r="C1" s="17" t="str">
        <x:v>Role</x:v>
      </x:c>
      <x:c r="D1" s="17" t="str">
        <x:v>Route</x:v>
      </x:c>
      <x:c r="E1" s="17" t="str">
        <x:v>Hero</x:v>
      </x:c>
      <x:c r="F1" s="17" t="str">
        <x:v>Brief block</x:v>
      </x:c>
      <x:c r="G1" s="17" t="str">
        <x:v>Agent block</x:v>
      </x:c>
      <x:c r="H1" s="17" t="str">
        <x:v>Real interaction</x:v>
      </x:c>
      <x:c r="I1" s="17" t="str">
        <x:v>Source block</x:v>
      </x:c>
      <x:c r="J1" s="17" t="str">
        <x:v>Build status</x:v>
      </x:c>
      <x:c r="K1" s="17" t="str">
        <x:v>QA status</x:v>
      </x:c>
      <x:c r="L1" s="17" t="str">
        <x:v>Application status</x:v>
      </x:c>
    </x:row>
    <x:row r="2">
      <x:c r="A2" s="28" t="str">
        <x:v>A</x:v>
      </x:c>
      <x:c r="B2" s="28" t="str">
        <x:v>ABC</x:v>
      </x:c>
      <x:c r="C2" s="28" t="str">
        <x:v>AI Adoption Specialist</x:v>
      </x:c>
      <x:c r="D2" s="28" t="str">
        <x:v>/solutions/abc-ai-adoption-specialist</x:v>
      </x:c>
      <x:c r="E2" s="28" t="str">
        <x:v>ABC — AI Adoption Specialist</x:v>
      </x:c>
      <x:c r="F2" s="28" t="str">
        <x:v>What the public job ad says the role must achieve</x:v>
      </x:c>
      <x:c r="G2" s="28" t="str">
        <x:v>Our Agent has outlined this</x:v>
      </x:c>
      <x:c r="H2" s="28" t="str">
        <x:v>Analyse a real editorial/business task and return a safe repeatable AI-assisted workflow.</x:v>
      </x:c>
      <x:c r="I2" s="28" t="str">
        <x:v>Original public job source + no-affiliation disclaimer</x:v>
      </x:c>
      <x:c r="J2" s="28" t="str">
        <x:v>READY</x:v>
      </x:c>
      <x:c r="K2" s="28" t="str">
        <x:v>NOT TESTED</x:v>
      </x:c>
      <x:c r="L2" s="28" t="str">
        <x:v>NOT APPLIED</x:v>
      </x:c>
    </x:row>
    <x:row r="3">
      <x:c r="A3" s="28" t="str">
        <x:v>A</x:v>
      </x:c>
      <x:c r="B3" s="28" t="str">
        <x:v>The Arnott's Group</x:v>
      </x:c>
      <x:c r="C3" s="28" t="str">
        <x:v>AI Enablement and Adoption Lead</x:v>
      </x:c>
      <x:c r="D3" s="28" t="str">
        <x:v>/solutions/the-arnott-s-group-ai-enablement-and-adoption-lead</x:v>
      </x:c>
      <x:c r="E3" s="28" t="str">
        <x:v>The Arnott's Group — AI Enablement and Adoption Lead</x:v>
      </x:c>
      <x:c r="F3" s="28" t="str">
        <x:v>What the public job ad says the role must achieve</x:v>
      </x:c>
      <x:c r="G3" s="28" t="str">
        <x:v>Our Agent has outlined this</x:v>
      </x:c>
      <x:c r="H3" s="28" t="str">
        <x:v>Take a real business task and return the AI opportunity, workflow, controls, implementation steps and value measures.</x:v>
      </x:c>
      <x:c r="I3" s="28" t="str">
        <x:v>Original public job source + no-affiliation disclaimer</x:v>
      </x:c>
      <x:c r="J3" s="28" t="str">
        <x:v>READY</x:v>
      </x:c>
      <x:c r="K3" s="28" t="str">
        <x:v>NOT TESTED</x:v>
      </x:c>
      <x:c r="L3" s="28" t="str">
        <x:v>NOT APPLIED</x:v>
      </x:c>
    </x:row>
    <x:row r="4">
      <x:c r="A4" s="28" t="str">
        <x:v>A</x:v>
      </x:c>
      <x:c r="B4" s="28" t="str">
        <x:v>Findex</x:v>
      </x:c>
      <x:c r="C4" s="28" t="str">
        <x:v>AI &amp; Digital Tools Adoption Lead</x:v>
      </x:c>
      <x:c r="D4" s="28" t="str">
        <x:v>/solutions/findex-ai-digital-tools-adoption-lead</x:v>
      </x:c>
      <x:c r="E4" s="28" t="str">
        <x:v>Findex — AI &amp; Digital Tools Adoption Lead</x:v>
      </x:c>
      <x:c r="F4" s="28" t="str">
        <x:v>What the public job ad says the role must achieve</x:v>
      </x:c>
      <x:c r="G4" s="28" t="str">
        <x:v>Our Agent has outlined this</x:v>
      </x:c>
      <x:c r="H4" s="28" t="str">
        <x:v>Take a real business task and return the AI opportunity, workflow, controls, implementation steps and value measures.</x:v>
      </x:c>
      <x:c r="I4" s="28" t="str">
        <x:v>Original public job source + no-affiliation disclaimer</x:v>
      </x:c>
      <x:c r="J4" s="28" t="str">
        <x:v>READY</x:v>
      </x:c>
      <x:c r="K4" s="28" t="str">
        <x:v>NOT TESTED</x:v>
      </x:c>
      <x:c r="L4" s="28" t="str">
        <x:v>NOT APPLIED</x:v>
      </x:c>
    </x:row>
    <x:row r="5">
      <x:c r="A5" s="28" t="str">
        <x:v>A</x:v>
      </x:c>
      <x:c r="B5" s="28" t="str">
        <x:v>SSI</x:v>
      </x:c>
      <x:c r="C5" s="28" t="str">
        <x:v>AI Enablement and Adoption Lead</x:v>
      </x:c>
      <x:c r="D5" s="28" t="str">
        <x:v>/solutions/ssi-ai-enablement-and-adoption-lead</x:v>
      </x:c>
      <x:c r="E5" s="28" t="str">
        <x:v>SSI — AI Enablement and Adoption Lead</x:v>
      </x:c>
      <x:c r="F5" s="28" t="str">
        <x:v>What the public job ad says the role must achieve</x:v>
      </x:c>
      <x:c r="G5" s="28" t="str">
        <x:v>Our Agent has outlined this</x:v>
      </x:c>
      <x:c r="H5" s="28" t="str">
        <x:v>Take a real business task and return the AI opportunity, workflow, controls, implementation steps and value measures.</x:v>
      </x:c>
      <x:c r="I5" s="28" t="str">
        <x:v>Original public job source + no-affiliation disclaimer</x:v>
      </x:c>
      <x:c r="J5" s="28" t="str">
        <x:v>READY</x:v>
      </x:c>
      <x:c r="K5" s="28" t="str">
        <x:v>NOT TESTED</x:v>
      </x:c>
      <x:c r="L5" s="28" t="str">
        <x:v>NOT APPLIED</x:v>
      </x:c>
    </x:row>
    <x:row r="6">
      <x:c r="A6" s="28" t="str">
        <x:v>A</x:v>
      </x:c>
      <x:c r="B6" s="28" t="str">
        <x:v>Georgiou Group</x:v>
      </x:c>
      <x:c r="C6" s="28" t="str">
        <x:v>AI Enablement Lead</x:v>
      </x:c>
      <x:c r="D6" s="28" t="str">
        <x:v>/solutions/georgiou-group-ai-enablement-lead</x:v>
      </x:c>
      <x:c r="E6" s="28" t="str">
        <x:v>Georgiou Group — AI Enablement Lead</x:v>
      </x:c>
      <x:c r="F6" s="28" t="str">
        <x:v>What the public job ad says the role must achieve</x:v>
      </x:c>
      <x:c r="G6" s="28" t="str">
        <x:v>Our Agent has outlined this</x:v>
      </x:c>
      <x:c r="H6" s="28" t="str">
        <x:v>Take a real business task and return the AI opportunity, workflow, controls, implementation steps and value measures.</x:v>
      </x:c>
      <x:c r="I6" s="28" t="str">
        <x:v>Original public job source + no-affiliation disclaimer</x:v>
      </x:c>
      <x:c r="J6" s="28" t="str">
        <x:v>READY</x:v>
      </x:c>
      <x:c r="K6" s="28" t="str">
        <x:v>NOT TESTED</x:v>
      </x:c>
      <x:c r="L6" s="28" t="str">
        <x:v>NOT APPLIED</x:v>
      </x:c>
    </x:row>
    <x:row r="7">
      <x:c r="A7" s="28" t="str">
        <x:v>A</x:v>
      </x:c>
      <x:c r="B7" s="28" t="str">
        <x:v>Novigi</x:v>
      </x:c>
      <x:c r="C7" s="28" t="str">
        <x:v>AI Adoption Coach</x:v>
      </x:c>
      <x:c r="D7" s="28" t="str">
        <x:v>/solutions/novigi-ai-adoption-coach</x:v>
      </x:c>
      <x:c r="E7" s="28" t="str">
        <x:v>Novigi — AI Adoption Coach</x:v>
      </x:c>
      <x:c r="F7" s="28" t="str">
        <x:v>What the public job ad says the role must achieve</x:v>
      </x:c>
      <x:c r="G7" s="28" t="str">
        <x:v>Our Agent has outlined this</x:v>
      </x:c>
      <x:c r="H7" s="28" t="str">
        <x:v>Take a real business task and return the AI opportunity, workflow, controls, implementation steps and value measures.</x:v>
      </x:c>
      <x:c r="I7" s="28" t="str">
        <x:v>Original public job source + no-affiliation disclaimer</x:v>
      </x:c>
      <x:c r="J7" s="28" t="str">
        <x:v>READY</x:v>
      </x:c>
      <x:c r="K7" s="28" t="str">
        <x:v>NOT TESTED</x:v>
      </x:c>
      <x:c r="L7" s="28" t="str">
        <x:v>NOT APPLIED</x:v>
      </x:c>
    </x:row>
    <x:row r="8">
      <x:c r="A8" s="28" t="str">
        <x:v>A</x:v>
      </x:c>
      <x:c r="B8" s="28" t="str">
        <x:v>Novigi</x:v>
      </x:c>
      <x:c r="C8" s="28" t="str">
        <x:v>AI Adoption Programme Co-ordinator</x:v>
      </x:c>
      <x:c r="D8" s="28" t="str">
        <x:v>/solutions/novigi-ai-adoption-programme-co-ordinator</x:v>
      </x:c>
      <x:c r="E8" s="28" t="str">
        <x:v>Novigi — AI Adoption Programme Co-ordinator</x:v>
      </x:c>
      <x:c r="F8" s="28" t="str">
        <x:v>What the public job ad says the role must achieve</x:v>
      </x:c>
      <x:c r="G8" s="28" t="str">
        <x:v>Our Agent has outlined this</x:v>
      </x:c>
      <x:c r="H8" s="28" t="str">
        <x:v>Take a real business task and return the AI opportunity, workflow, controls, implementation steps and value measures.</x:v>
      </x:c>
      <x:c r="I8" s="28" t="str">
        <x:v>Original public job source + no-affiliation disclaimer</x:v>
      </x:c>
      <x:c r="J8" s="28" t="str">
        <x:v>READY</x:v>
      </x:c>
      <x:c r="K8" s="28" t="str">
        <x:v>NOT TESTED</x:v>
      </x:c>
      <x:c r="L8" s="28" t="str">
        <x:v>NOT APPLIED</x:v>
      </x:c>
    </x:row>
    <x:row r="9">
      <x:c r="A9" s="28" t="str">
        <x:v>A</x:v>
      </x:c>
      <x:c r="B9" s="28" t="str">
        <x:v>Commonwealth Bank</x:v>
      </x:c>
      <x:c r="C9" s="28" t="str">
        <x:v>Chapter Lead - AI Enablement &amp; Execution</x:v>
      </x:c>
      <x:c r="D9" s="28" t="str">
        <x:v>/solutions/commonwealth-bank-chapter-lead-ai-enablement-execution</x:v>
      </x:c>
      <x:c r="E9" s="28" t="str">
        <x:v>Commonwealth Bank — Chapter Lead - AI Enablement &amp; Execution</x:v>
      </x:c>
      <x:c r="F9" s="28" t="str">
        <x:v>What the public job ad says the role must achieve</x:v>
      </x:c>
      <x:c r="G9" s="28" t="str">
        <x:v>Our Agent has outlined this</x:v>
      </x:c>
      <x:c r="H9" s="28" t="str">
        <x:v>Take a business/change workflow and return opportunity, controls, workflow design and measurable outcomes.</x:v>
      </x:c>
      <x:c r="I9" s="28" t="str">
        <x:v>Original public job source + no-affiliation disclaimer</x:v>
      </x:c>
      <x:c r="J9" s="28" t="str">
        <x:v>READY</x:v>
      </x:c>
      <x:c r="K9" s="28" t="str">
        <x:v>NOT TESTED</x:v>
      </x:c>
      <x:c r="L9" s="28" t="str">
        <x:v>NOT APPLIED</x:v>
      </x:c>
    </x:row>
    <x:row r="10">
      <x:c r="A10" s="28" t="str">
        <x:v>A</x:v>
      </x:c>
      <x:c r="B10" s="28" t="str">
        <x:v>Insignia Financial</x:v>
      </x:c>
      <x:c r="C10" s="28" t="str">
        <x:v>Head of AI Adoption &amp; Transformation</x:v>
      </x:c>
      <x:c r="D10" s="28" t="str">
        <x:v>/solutions/insignia-financial-head-of-ai-adoption-transformation</x:v>
      </x:c>
      <x:c r="E10" s="28" t="str">
        <x:v>Insignia Financial — Head of AI Adoption &amp; Transformation</x:v>
      </x:c>
      <x:c r="F10" s="28" t="str">
        <x:v>What the public job ad says the role must achieve</x:v>
      </x:c>
      <x:c r="G10" s="28" t="str">
        <x:v>Our Agent has outlined this</x:v>
      </x:c>
      <x:c r="H10" s="28" t="str">
        <x:v>Take a real business task and return the AI opportunity, workflow, controls, implementation steps and value measures.</x:v>
      </x:c>
      <x:c r="I10" s="28" t="str">
        <x:v>Original public job source + no-affiliation disclaimer</x:v>
      </x:c>
      <x:c r="J10" s="28" t="str">
        <x:v>READY</x:v>
      </x:c>
      <x:c r="K10" s="28" t="str">
        <x:v>NOT TESTED</x:v>
      </x:c>
      <x:c r="L10" s="28" t="str">
        <x:v>NOT APPLIED</x:v>
      </x:c>
    </x:row>
    <x:row r="11">
      <x:c r="A11" s="28" t="str">
        <x:v>A</x:v>
      </x:c>
      <x:c r="B11" s="28" t="str">
        <x:v>Bellroy</x:v>
      </x:c>
      <x:c r="C11" s="28" t="str">
        <x:v>AI Enablement Lead</x:v>
      </x:c>
      <x:c r="D11" s="28" t="str">
        <x:v>/solutions/bellroy-ai-enablement-lead</x:v>
      </x:c>
      <x:c r="E11" s="28" t="str">
        <x:v>Bellroy — AI Enablement Lead</x:v>
      </x:c>
      <x:c r="F11" s="28" t="str">
        <x:v>What the public job ad says the role must achieve</x:v>
      </x:c>
      <x:c r="G11" s="28" t="str">
        <x:v>Our Agent has outlined this</x:v>
      </x:c>
      <x:c r="H11" s="28" t="str">
        <x:v>Take a real business task and return the AI opportunity, workflow, controls, implementation steps and value measures.</x:v>
      </x:c>
      <x:c r="I11" s="28" t="str">
        <x:v>Original public job source + no-affiliation disclaimer</x:v>
      </x:c>
      <x:c r="J11" s="28" t="str">
        <x:v>READY</x:v>
      </x:c>
      <x:c r="K11" s="28" t="str">
        <x:v>NOT TESTED</x:v>
      </x:c>
      <x:c r="L11" s="28" t="str">
        <x:v>NOT APPLIED</x:v>
      </x:c>
    </x:row>
    <x:row r="12">
      <x:c r="A12" s="28" t="str">
        <x:v>A</x:v>
      </x:c>
      <x:c r="B12" s="28" t="str">
        <x:v>CBRE Asia Pacific</x:v>
      </x:c>
      <x:c r="C12" s="28" t="str">
        <x:v>AI Adoption Lead</x:v>
      </x:c>
      <x:c r="D12" s="28" t="str">
        <x:v>/solutions/cbre-asia-pacific-ai-adoption-lead</x:v>
      </x:c>
      <x:c r="E12" s="28" t="str">
        <x:v>CBRE Asia Pacific — AI Adoption Lead</x:v>
      </x:c>
      <x:c r="F12" s="28" t="str">
        <x:v>What the public job ad says the role must achieve</x:v>
      </x:c>
      <x:c r="G12" s="28" t="str">
        <x:v>Our Agent has outlined this</x:v>
      </x:c>
      <x:c r="H12" s="28" t="str">
        <x:v>Take a real business task and return the AI opportunity, workflow, controls, implementation steps and value measures.</x:v>
      </x:c>
      <x:c r="I12" s="28" t="str">
        <x:v>Original public job source + no-affiliation disclaimer</x:v>
      </x:c>
      <x:c r="J12" s="28" t="str">
        <x:v>READY</x:v>
      </x:c>
      <x:c r="K12" s="28" t="str">
        <x:v>NOT TESTED</x:v>
      </x:c>
      <x:c r="L12" s="28" t="str">
        <x:v>NOT APPLIED</x:v>
      </x:c>
    </x:row>
    <x:row r="13">
      <x:c r="A13" s="28" t="str">
        <x:v>A</x:v>
      </x:c>
      <x:c r="B13" s="28" t="str">
        <x:v>Deloitte Australia</x:v>
      </x:c>
      <x:c r="C13" s="28" t="str">
        <x:v>AI Value &amp; Adoption Lead - Director</x:v>
      </x:c>
      <x:c r="D13" s="28" t="str">
        <x:v>/solutions/deloitte-australia-ai-value-adoption-lead-director</x:v>
      </x:c>
      <x:c r="E13" s="28" t="str">
        <x:v>Deloitte Australia — AI Value &amp; Adoption Lead - Director</x:v>
      </x:c>
      <x:c r="F13" s="28" t="str">
        <x:v>What the public job ad says the role must achieve</x:v>
      </x:c>
      <x:c r="G13" s="28" t="str">
        <x:v>Our Agent has outlined this</x:v>
      </x:c>
      <x:c r="H13" s="28" t="str">
        <x:v>Take a real business task and return the AI opportunity, workflow, controls, implementation steps and value measures.</x:v>
      </x:c>
      <x:c r="I13" s="28" t="str">
        <x:v>Original public job source + no-affiliation disclaimer</x:v>
      </x:c>
      <x:c r="J13" s="28" t="str">
        <x:v>READY</x:v>
      </x:c>
      <x:c r="K13" s="28" t="str">
        <x:v>NOT TESTED</x:v>
      </x:c>
      <x:c r="L13" s="28" t="str">
        <x:v>NOT APPLIED</x:v>
      </x:c>
    </x:row>
    <x:row r="14">
      <x:c r="A14" s="28" t="str">
        <x:v>A</x:v>
      </x:c>
      <x:c r="B14" s="28" t="str">
        <x:v>David Jones</x:v>
      </x:c>
      <x:c r="C14" s="28" t="str">
        <x:v>AI Capability &amp; Enablement Lead</x:v>
      </x:c>
      <x:c r="D14" s="28" t="str">
        <x:v>/solutions/david-jones-ai-capability-enablement-lead</x:v>
      </x:c>
      <x:c r="E14" s="28" t="str">
        <x:v>David Jones — AI Capability &amp; Enablement Lead</x:v>
      </x:c>
      <x:c r="F14" s="28" t="str">
        <x:v>What the public job ad says the role must achieve</x:v>
      </x:c>
      <x:c r="G14" s="28" t="str">
        <x:v>Our Agent has outlined this</x:v>
      </x:c>
      <x:c r="H14" s="28" t="str">
        <x:v>Take a role/task from store or support office and return a practical learning/workflow path.</x:v>
      </x:c>
      <x:c r="I14" s="28" t="str">
        <x:v>Original public job source + no-affiliation disclaimer</x:v>
      </x:c>
      <x:c r="J14" s="28" t="str">
        <x:v>READY</x:v>
      </x:c>
      <x:c r="K14" s="28" t="str">
        <x:v>NOT TESTED</x:v>
      </x:c>
      <x:c r="L14" s="28" t="str">
        <x:v>NOT APPLIED</x:v>
      </x:c>
    </x:row>
    <x:row r="15">
      <x:c r="A15" s="28" t="str">
        <x:v>A</x:v>
      </x:c>
      <x:c r="B15" s="28" t="str">
        <x:v>Techtronic Industries</x:v>
      </x:c>
      <x:c r="C15" s="28" t="str">
        <x:v>AI Governance &amp; Enablement Lead ANZ</x:v>
      </x:c>
      <x:c r="D15" s="28" t="str">
        <x:v>/solutions/techtronic-industries-ai-governance-enablement-lead-anz</x:v>
      </x:c>
      <x:c r="E15" s="28" t="str">
        <x:v>Techtronic Industries — AI Governance &amp; Enablement Lead ANZ</x:v>
      </x:c>
      <x:c r="F15" s="28" t="str">
        <x:v>What the public job ad says the role must achieve</x:v>
      </x:c>
      <x:c r="G15" s="28" t="str">
        <x:v>Our Agent has outlined this</x:v>
      </x:c>
      <x:c r="H15" s="28" t="str">
        <x:v>Take a real business task and return the AI opportunity, workflow, controls, implementation steps and value measures.</x:v>
      </x:c>
      <x:c r="I15" s="28" t="str">
        <x:v>Original public job source + no-affiliation disclaimer</x:v>
      </x:c>
      <x:c r="J15" s="28" t="str">
        <x:v>READY</x:v>
      </x:c>
      <x:c r="K15" s="28" t="str">
        <x:v>NOT TESTED</x:v>
      </x:c>
      <x:c r="L15" s="28" t="str">
        <x:v>NOT APPLIED</x:v>
      </x:c>
    </x:row>
    <x:row r="16">
      <x:c r="A16" s="28" t="str">
        <x:v>A</x:v>
      </x:c>
      <x:c r="B16" s="28" t="str">
        <x:v>Insentra</x:v>
      </x:c>
      <x:c r="C16" s="28" t="str">
        <x:v>AI Adoption Lead</x:v>
      </x:c>
      <x:c r="D16" s="28" t="str">
        <x:v>/solutions/insentra-ai-adoption-lead</x:v>
      </x:c>
      <x:c r="E16" s="28" t="str">
        <x:v>Insentra — AI Adoption Lead</x:v>
      </x:c>
      <x:c r="F16" s="28" t="str">
        <x:v>What the public job ad says the role must achieve</x:v>
      </x:c>
      <x:c r="G16" s="28" t="str">
        <x:v>Our Agent has outlined this</x:v>
      </x:c>
      <x:c r="H16" s="28" t="str">
        <x:v>Take a real business task and return the AI opportunity, workflow, controls, implementation steps and value measures.</x:v>
      </x:c>
      <x:c r="I16" s="28" t="str">
        <x:v>Original public job source + no-affiliation disclaimer</x:v>
      </x:c>
      <x:c r="J16" s="28" t="str">
        <x:v>READY</x:v>
      </x:c>
      <x:c r="K16" s="28" t="str">
        <x:v>NOT TESTED</x:v>
      </x:c>
      <x:c r="L16" s="28" t="str">
        <x:v>NOT APPLIED</x:v>
      </x:c>
    </x:row>
    <x:row r="17">
      <x:c r="A17" s="28" t="str">
        <x:v>A</x:v>
      </x:c>
      <x:c r="B17" s="28" t="str">
        <x:v>Icon Group</x:v>
      </x:c>
      <x:c r="C17" s="28" t="str">
        <x:v>Project Trainer - National Heidi AI Adoption</x:v>
      </x:c>
      <x:c r="D17" s="28" t="str">
        <x:v>/solutions/icon-group-project-trainer-national-heidi-ai-adoption</x:v>
      </x:c>
      <x:c r="E17" s="28" t="str">
        <x:v>Icon Group — Project Trainer - National Heidi AI Adoption</x:v>
      </x:c>
      <x:c r="F17" s="28" t="str">
        <x:v>What the public job ad says the role must achieve</x:v>
      </x:c>
      <x:c r="G17" s="28" t="str">
        <x:v>Our Agent has outlined this</x:v>
      </x:c>
      <x:c r="H17" s="28" t="str">
        <x:v>Take a real clinical/admin workflow and generate a training, go-live and support plan without making clinical decisions.</x:v>
      </x:c>
      <x:c r="I17" s="28" t="str">
        <x:v>Original public job source + no-affiliation disclaimer</x:v>
      </x:c>
      <x:c r="J17" s="28" t="str">
        <x:v>READY</x:v>
      </x:c>
      <x:c r="K17" s="28" t="str">
        <x:v>NOT TESTED</x:v>
      </x:c>
      <x:c r="L17" s="28" t="str">
        <x:v>NOT APPLIED</x:v>
      </x:c>
    </x:row>
    <x:row r="18">
      <x:c r="A18" s="28" t="str">
        <x:v>A</x:v>
      </x:c>
      <x:c r="B18" s="28" t="str">
        <x:v>MinterEllison</x:v>
      </x:c>
      <x:c r="C18" s="28" t="str">
        <x:v>Senior Manager Optimisation &amp; AI Enablement</x:v>
      </x:c>
      <x:c r="D18" s="28" t="str">
        <x:v>/solutions/minterellison-senior-manager-optimisation-ai-enablement</x:v>
      </x:c>
      <x:c r="E18" s="28" t="str">
        <x:v>MinterEllison — Senior Manager Optimisation &amp; AI Enablement</x:v>
      </x:c>
      <x:c r="F18" s="28" t="str">
        <x:v>What the public job ad says the role must achieve</x:v>
      </x:c>
      <x:c r="G18" s="28" t="str">
        <x:v>Our Agent has outlined this</x:v>
      </x:c>
      <x:c r="H18" s="28" t="str">
        <x:v>Take a real business task and return the AI opportunity, workflow, controls, implementation steps and value measures.</x:v>
      </x:c>
      <x:c r="I18" s="28" t="str">
        <x:v>Original public job source + no-affiliation disclaimer</x:v>
      </x:c>
      <x:c r="J18" s="28" t="str">
        <x:v>READY</x:v>
      </x:c>
      <x:c r="K18" s="28" t="str">
        <x:v>NOT TESTED</x:v>
      </x:c>
      <x:c r="L18" s="28" t="str">
        <x:v>NOT APPLIED</x:v>
      </x:c>
    </x:row>
    <x:row r="19">
      <x:c r="A19" s="28" t="str">
        <x:v>A</x:v>
      </x:c>
      <x:c r="B19" s="28" t="str">
        <x:v>Thomsons Lawyers</x:v>
      </x:c>
      <x:c r="C19" s="28" t="str">
        <x:v>Technology &amp; AI Trainer</x:v>
      </x:c>
      <x:c r="D19" s="28" t="str">
        <x:v>/solutions/thomsons-lawyers-technology-ai-trainer</x:v>
      </x:c>
      <x:c r="E19" s="28" t="str">
        <x:v>Thomsons Lawyers — Technology &amp; AI Trainer</x:v>
      </x:c>
      <x:c r="F19" s="28" t="str">
        <x:v>What the public job ad says the role must achieve</x:v>
      </x:c>
      <x:c r="G19" s="28" t="str">
        <x:v>Our Agent has outlined this</x:v>
      </x:c>
      <x:c r="H19" s="28" t="str">
        <x:v>Take a legal workflow and return a matter-safe AI workflow, human review points and reusable guidance.</x:v>
      </x:c>
      <x:c r="I19" s="28" t="str">
        <x:v>Original public job source + no-affiliation disclaimer</x:v>
      </x:c>
      <x:c r="J19" s="28" t="str">
        <x:v>READY</x:v>
      </x:c>
      <x:c r="K19" s="28" t="str">
        <x:v>NOT TESTED</x:v>
      </x:c>
      <x:c r="L19" s="28" t="str">
        <x:v>NOT APPLIED</x:v>
      </x:c>
    </x:row>
    <x:row r="20">
      <x:c r="A20" s="28" t="str">
        <x:v>B</x:v>
      </x:c>
      <x:c r="B20" s="28" t="str">
        <x:v>Team 400</x:v>
      </x:c>
      <x:c r="C20" s="28" t="str">
        <x:v>AI Trainer &amp; AI Agent Consultant</x:v>
      </x:c>
      <x:c r="D20" s="28" t="str">
        <x:v>/solutions/team-400-ai-trainer-ai-agent-consultant</x:v>
      </x:c>
      <x:c r="E20" s="28" t="str">
        <x:v>Team 400 — AI Trainer &amp; AI Agent Consultant</x:v>
      </x:c>
      <x:c r="F20" s="28" t="str">
        <x:v>What the public job ad says the role must achieve</x:v>
      </x:c>
      <x:c r="G20" s="28" t="str">
        <x:v>Our Agent has outlined this</x:v>
      </x:c>
      <x:c r="H20" s="28" t="str">
        <x:v>Take a real business task and return the AI opportunity, workflow, controls, implementation steps and value measures.</x:v>
      </x:c>
      <x:c r="I20" s="28" t="str">
        <x:v>Original public job source + no-affiliation disclaimer</x:v>
      </x:c>
      <x:c r="J20" s="28" t="str">
        <x:v>READY</x:v>
      </x:c>
      <x:c r="K20" s="28" t="str">
        <x:v>NOT TESTED</x:v>
      </x:c>
      <x:c r="L20" s="28" t="str">
        <x:v>NOT APPLIED</x:v>
      </x:c>
    </x:row>
    <x:row r="21">
      <x:c r="A21" s="28" t="str">
        <x:v>B</x:v>
      </x:c>
      <x:c r="B21" s="28" t="str">
        <x:v>Epiphany Training + Consulting</x:v>
      </x:c>
      <x:c r="C21" s="28" t="str">
        <x:v>AI Consultant</x:v>
      </x:c>
      <x:c r="D21" s="28" t="str">
        <x:v>/solutions/epiphany-training-consulting-ai-consultant</x:v>
      </x:c>
      <x:c r="E21" s="28" t="str">
        <x:v>Epiphany Training + Consulting — AI Consultant</x:v>
      </x:c>
      <x:c r="F21" s="28" t="str">
        <x:v>What the public job ad says the role must achieve</x:v>
      </x:c>
      <x:c r="G21" s="28" t="str">
        <x:v>Our Agent has outlined this</x:v>
      </x:c>
      <x:c r="H21" s="28" t="str">
        <x:v>Take a real business task and return the AI opportunity, workflow, controls, implementation steps and value measures.</x:v>
      </x:c>
      <x:c r="I21" s="28" t="str">
        <x:v>Original public job source + no-affiliation disclaimer</x:v>
      </x:c>
      <x:c r="J21" s="28" t="str">
        <x:v>READY</x:v>
      </x:c>
      <x:c r="K21" s="28" t="str">
        <x:v>NOT TESTED</x:v>
      </x:c>
      <x:c r="L21" s="28" t="str">
        <x:v>NOT APPLIED</x:v>
      </x:c>
    </x:row>
    <x:row r="22">
      <x:c r="A22" s="28" t="str">
        <x:v>A</x:v>
      </x:c>
      <x:c r="B22" s="28" t="str">
        <x:v>Australian Retirement Trust</x:v>
      </x:c>
      <x:c r="C22" s="28" t="str">
        <x:v>Manager - AI Governance</x:v>
      </x:c>
      <x:c r="D22" s="28" t="str">
        <x:v>/solutions/australian-retirement-trust-manager-ai-governance</x:v>
      </x:c>
      <x:c r="E22" s="28" t="str">
        <x:v>Australian Retirement Trust — Manager - AI Governance</x:v>
      </x:c>
      <x:c r="F22" s="28" t="str">
        <x:v>What the public job ad says the role must achieve</x:v>
      </x:c>
      <x:c r="G22" s="28" t="str">
        <x:v>Our Agent has outlined this</x:v>
      </x:c>
      <x:c r="H22" s="28" t="str">
        <x:v>Take a real business task and return the AI opportunity, workflow, controls, implementation steps and value measures.</x:v>
      </x:c>
      <x:c r="I22" s="28" t="str">
        <x:v>Original public job source + no-affiliation disclaimer</x:v>
      </x:c>
      <x:c r="J22" s="28" t="str">
        <x:v>READY</x:v>
      </x:c>
      <x:c r="K22" s="28" t="str">
        <x:v>NOT TESTED</x:v>
      </x:c>
      <x:c r="L22" s="28" t="str">
        <x:v>NOT APPLIED</x:v>
      </x:c>
    </x:row>
    <x:row r="23">
      <x:c r="A23" s="28" t="str">
        <x:v>B</x:v>
      </x:c>
      <x:c r="B23" s="28" t="str">
        <x:v>Australian Retirement Trust</x:v>
      </x:c>
      <x:c r="C23" s="28" t="str">
        <x:v>AI Governance Specialist</x:v>
      </x:c>
      <x:c r="D23" s="28" t="str">
        <x:v>/solutions/australian-retirement-trust-ai-governance-specialist</x:v>
      </x:c>
      <x:c r="E23" s="28" t="str">
        <x:v>Australian Retirement Trust — AI Governance Specialist</x:v>
      </x:c>
      <x:c r="F23" s="28" t="str">
        <x:v>What the public job ad says the role must achieve</x:v>
      </x:c>
      <x:c r="G23" s="28" t="str">
        <x:v>Our Agent has outlined this</x:v>
      </x:c>
      <x:c r="H23" s="28" t="str">
        <x:v>Take a real business task and return the AI opportunity, workflow, controls, implementation steps and value measures.</x:v>
      </x:c>
      <x:c r="I23" s="28" t="str">
        <x:v>Original public job source + no-affiliation disclaimer</x:v>
      </x:c>
      <x:c r="J23" s="28" t="str">
        <x:v>READY</x:v>
      </x:c>
      <x:c r="K23" s="28" t="str">
        <x:v>NOT TESTED</x:v>
      </x:c>
      <x:c r="L23" s="28" t="str">
        <x:v>NOT APPLIED</x:v>
      </x:c>
    </x:row>
    <x:row r="24">
      <x:c r="A24" s="28" t="str">
        <x:v>A</x:v>
      </x:c>
      <x:c r="B24" s="28" t="str">
        <x:v>Australian Financial Complaints Authority</x:v>
      </x:c>
      <x:c r="C24" s="28" t="str">
        <x:v>Manager, AI Governance</x:v>
      </x:c>
      <x:c r="D24" s="28" t="str">
        <x:v>/solutions/australian-financial-complaints-authority-manager-ai-governance</x:v>
      </x:c>
      <x:c r="E24" s="28" t="str">
        <x:v>Australian Financial Complaints Authority — Manager, AI Governance</x:v>
      </x:c>
      <x:c r="F24" s="28" t="str">
        <x:v>What the public job ad says the role must achieve</x:v>
      </x:c>
      <x:c r="G24" s="28" t="str">
        <x:v>Our Agent has outlined this</x:v>
      </x:c>
      <x:c r="H24" s="28" t="str">
        <x:v>Take a real business task and return the AI opportunity, workflow, controls, implementation steps and value measures.</x:v>
      </x:c>
      <x:c r="I24" s="28" t="str">
        <x:v>Original public job source + no-affiliation disclaimer</x:v>
      </x:c>
      <x:c r="J24" s="28" t="str">
        <x:v>READY</x:v>
      </x:c>
      <x:c r="K24" s="28" t="str">
        <x:v>NOT TESTED</x:v>
      </x:c>
      <x:c r="L24" s="28" t="str">
        <x:v>NOT APPLIED</x:v>
      </x:c>
    </x:row>
    <x:row r="25">
      <x:c r="A25" s="28" t="str">
        <x:v>B</x:v>
      </x:c>
      <x:c r="B25" s="28" t="str">
        <x:v>Great Southern Bank</x:v>
      </x:c>
      <x:c r="C25" s="28" t="str">
        <x:v>Data and AI Governance Specialist</x:v>
      </x:c>
      <x:c r="D25" s="28" t="str">
        <x:v>/solutions/great-southern-bank-data-and-ai-governance-specialist</x:v>
      </x:c>
      <x:c r="E25" s="28" t="str">
        <x:v>Great Southern Bank — Data and AI Governance Specialist</x:v>
      </x:c>
      <x:c r="F25" s="28" t="str">
        <x:v>What the public job ad says the role must achieve</x:v>
      </x:c>
      <x:c r="G25" s="28" t="str">
        <x:v>Our Agent has outlined this</x:v>
      </x:c>
      <x:c r="H25" s="28" t="str">
        <x:v>Take a business/change workflow and return opportunity, controls, workflow design and measurable outcomes.</x:v>
      </x:c>
      <x:c r="I25" s="28" t="str">
        <x:v>Original public job source + no-affiliation disclaimer</x:v>
      </x:c>
      <x:c r="J25" s="28" t="str">
        <x:v>READY</x:v>
      </x:c>
      <x:c r="K25" s="28" t="str">
        <x:v>NOT TESTED</x:v>
      </x:c>
      <x:c r="L25" s="28" t="str">
        <x:v>NOT APPLIED</x:v>
      </x:c>
    </x:row>
    <x:row r="26">
      <x:c r="A26" s="28" t="str">
        <x:v>A</x:v>
      </x:c>
      <x:c r="B26" s="28" t="str">
        <x:v>NSW Department of Customer Service</x:v>
      </x:c>
      <x:c r="C26" s="28" t="str">
        <x:v>Manager, Data &amp; AI Governance</x:v>
      </x:c>
      <x:c r="D26" s="28" t="str">
        <x:v>/solutions/nsw-department-of-customer-service-manager-data-ai-governance</x:v>
      </x:c>
      <x:c r="E26" s="28" t="str">
        <x:v>NSW Department of Customer Service — Manager, Data &amp; AI Governance</x:v>
      </x:c>
      <x:c r="F26" s="28" t="str">
        <x:v>What the public job ad says the role must achieve</x:v>
      </x:c>
      <x:c r="G26" s="28" t="str">
        <x:v>Our Agent has outlined this</x:v>
      </x:c>
      <x:c r="H26" s="28" t="str">
        <x:v>Take a real business task and return the AI opportunity, workflow, controls, implementation steps and value measures.</x:v>
      </x:c>
      <x:c r="I26" s="28" t="str">
        <x:v>Original public job source + no-affiliation disclaimer</x:v>
      </x:c>
      <x:c r="J26" s="28" t="str">
        <x:v>READY</x:v>
      </x:c>
      <x:c r="K26" s="28" t="str">
        <x:v>NOT TESTED</x:v>
      </x:c>
      <x:c r="L26" s="28" t="str">
        <x:v>NOT APPLIED</x:v>
      </x:c>
    </x:row>
    <x:row r="27">
      <x:c r="A27" s="28" t="str">
        <x:v>B</x:v>
      </x:c>
      <x:c r="B27" s="28" t="str">
        <x:v>Central Land Council</x:v>
      </x:c>
      <x:c r="C27" s="28" t="str">
        <x:v>PM009 - AI Specialist</x:v>
      </x:c>
      <x:c r="D27" s="28" t="str">
        <x:v>/solutions/central-land-council-pm009-ai-specialist</x:v>
      </x:c>
      <x:c r="E27" s="28" t="str">
        <x:v>Central Land Council — PM009 - AI Specialist</x:v>
      </x:c>
      <x:c r="F27" s="28" t="str">
        <x:v>What the public job ad says the role must achieve</x:v>
      </x:c>
      <x:c r="G27" s="28" t="str">
        <x:v>Our Agent has outlined this</x:v>
      </x:c>
      <x:c r="H27" s="28" t="str">
        <x:v>Take a real business task and return the AI opportunity, workflow, controls, implementation steps and value measures.</x:v>
      </x:c>
      <x:c r="I27" s="28" t="str">
        <x:v>Original public job source + no-affiliation disclaimer</x:v>
      </x:c>
      <x:c r="J27" s="28" t="str">
        <x:v>READY</x:v>
      </x:c>
      <x:c r="K27" s="28" t="str">
        <x:v>NOT TESTED</x:v>
      </x:c>
      <x:c r="L27" s="28" t="str">
        <x:v>NOT APPLIED</x:v>
      </x:c>
    </x:row>
    <x:row r="28">
      <x:c r="A28" s="28" t="str">
        <x:v>B</x:v>
      </x:c>
      <x:c r="B28" s="28" t="str">
        <x:v>City of Stonnington</x:v>
      </x:c>
      <x:c r="C28" s="28" t="str">
        <x:v>AI Enablement Lead</x:v>
      </x:c>
      <x:c r="D28" s="28" t="str">
        <x:v>/solutions/city-of-stonnington-ai-enablement-lead</x:v>
      </x:c>
      <x:c r="E28" s="28" t="str">
        <x:v>City of Stonnington — AI Enablement Lead</x:v>
      </x:c>
      <x:c r="F28" s="28" t="str">
        <x:v>What the public job ad says the role must achieve</x:v>
      </x:c>
      <x:c r="G28" s="28" t="str">
        <x:v>Our Agent has outlined this</x:v>
      </x:c>
      <x:c r="H28" s="28" t="str">
        <x:v>Take a real business task and return the AI opportunity, workflow, controls, implementation steps and value measures.</x:v>
      </x:c>
      <x:c r="I28" s="28" t="str">
        <x:v>Original public job source + no-affiliation disclaimer</x:v>
      </x:c>
      <x:c r="J28" s="28" t="str">
        <x:v>READY</x:v>
      </x:c>
      <x:c r="K28" s="28" t="str">
        <x:v>NOT TESTED</x:v>
      </x:c>
      <x:c r="L28" s="28" t="str">
        <x:v>NOT APPLIED</x:v>
      </x:c>
    </x:row>
    <x:row r="29">
      <x:c r="A29" s="28" t="str">
        <x:v>B</x:v>
      </x:c>
      <x:c r="B29" s="28" t="str">
        <x:v>Wesfarmers Chemicals, Energy &amp; Fertilisers</x:v>
      </x:c>
      <x:c r="C29" s="28" t="str">
        <x:v>Digital Enablement Specialist (AI Transformation)</x:v>
      </x:c>
      <x:c r="D29" s="28" t="str">
        <x:v>/solutions/wesfarmers-chemicals-energy-fertilisers-digital-enablement-specialist-ai-transfo</x:v>
      </x:c>
      <x:c r="E29" s="28" t="str">
        <x:v>Wesfarmers Chemicals, Energy &amp; Fertilisers — Digital Enablement Specialist (AI Transformation)</x:v>
      </x:c>
      <x:c r="F29" s="28" t="str">
        <x:v>What the public job ad says the role must achieve</x:v>
      </x:c>
      <x:c r="G29" s="28" t="str">
        <x:v>Our Agent has outlined this</x:v>
      </x:c>
      <x:c r="H29" s="28" t="str">
        <x:v>Take a real business task and return the AI opportunity, workflow, controls, implementation steps and value measures.</x:v>
      </x:c>
      <x:c r="I29" s="28" t="str">
        <x:v>Original public job source + no-affiliation disclaimer</x:v>
      </x:c>
      <x:c r="J29" s="28" t="str">
        <x:v>READY</x:v>
      </x:c>
      <x:c r="K29" s="28" t="str">
        <x:v>NOT TESTED</x:v>
      </x:c>
      <x:c r="L29" s="28" t="str">
        <x:v>NOT APPLIED</x:v>
      </x:c>
    </x:row>
    <x:row r="30">
      <x:c r="A30" s="28" t="str">
        <x:v>B</x:v>
      </x:c>
      <x:c r="B30" s="28" t="str">
        <x:v>Victorian Department of Energy, Environment and Climate Action</x:v>
      </x:c>
      <x:c r="C30" s="28" t="str">
        <x:v>AI &amp; Data Lead</x:v>
      </x:c>
      <x:c r="D30" s="28" t="str">
        <x:v>/solutions/victorian-department-of-energy-environment-and-climate-action-ai-data-lead</x:v>
      </x:c>
      <x:c r="E30" s="28" t="str">
        <x:v>Victorian Department of Energy, Environment and Climate Action — AI &amp; Data Lead</x:v>
      </x:c>
      <x:c r="F30" s="28" t="str">
        <x:v>What the public job ad says the role must achieve</x:v>
      </x:c>
      <x:c r="G30" s="28" t="str">
        <x:v>Our Agent has outlined this</x:v>
      </x:c>
      <x:c r="H30" s="28" t="str">
        <x:v>Take a real business task and return the AI opportunity, workflow, controls, implementation steps and value measures.</x:v>
      </x:c>
      <x:c r="I30" s="28" t="str">
        <x:v>Original public job source + no-affiliation disclaimer</x:v>
      </x:c>
      <x:c r="J30" s="28" t="str">
        <x:v>READY</x:v>
      </x:c>
      <x:c r="K30" s="28" t="str">
        <x:v>NOT TESTED</x:v>
      </x:c>
      <x:c r="L30" s="28" t="str">
        <x:v>NOT APPLIED</x:v>
      </x:c>
    </x:row>
    <x:row r="31">
      <x:c r="A31" s="28" t="str">
        <x:v>B</x:v>
      </x:c>
      <x:c r="B31" s="28" t="str">
        <x:v>Victorian Department of Energy, Environment and Climate Action</x:v>
      </x:c>
      <x:c r="C31" s="28" t="str">
        <x:v>Artificial Intelligence (AI) Technical Specialist</x:v>
      </x:c>
      <x:c r="D31" s="28" t="str">
        <x:v>/solutions/victorian-department-of-energy-environment-and-climate-action-artificial-intelli</x:v>
      </x:c>
      <x:c r="E31" s="28" t="str">
        <x:v>Victorian Department of Energy, Environment and Climate Action — Artificial Intelligence (AI) Technical Specialist</x:v>
      </x:c>
      <x:c r="F31" s="28" t="str">
        <x:v>What the public job ad says the role must achieve</x:v>
      </x:c>
      <x:c r="G31" s="28" t="str">
        <x:v>Our Agent has outlined this</x:v>
      </x:c>
      <x:c r="H31" s="28" t="str">
        <x:v>Take a real business task and return the AI opportunity, workflow, controls, implementation steps and value measures.</x:v>
      </x:c>
      <x:c r="I31" s="28" t="str">
        <x:v>Original public job source + no-affiliation disclaimer</x:v>
      </x:c>
      <x:c r="J31" s="28" t="str">
        <x:v>READY</x:v>
      </x:c>
      <x:c r="K31" s="28" t="str">
        <x:v>NOT TESTED</x:v>
      </x:c>
      <x:c r="L31" s="28" t="str">
        <x:v>NOT APPLIED</x:v>
      </x:c>
    </x:row>
    <x:row r="32">
      <x:c r="A32" s="28" t="str">
        <x:v>B</x:v>
      </x:c>
      <x:c r="B32" s="28" t="str">
        <x:v>City of Whittlesea</x:v>
      </x:c>
      <x:c r="C32" s="28" t="str">
        <x:v>AI Solutions Officer</x:v>
      </x:c>
      <x:c r="D32" s="28" t="str">
        <x:v>/solutions/city-of-whittlesea-ai-solutions-officer</x:v>
      </x:c>
      <x:c r="E32" s="28" t="str">
        <x:v>City of Whittlesea — AI Solutions Officer</x:v>
      </x:c>
      <x:c r="F32" s="28" t="str">
        <x:v>What the public job ad says the role must achieve</x:v>
      </x:c>
      <x:c r="G32" s="28" t="str">
        <x:v>Our Agent has outlined this</x:v>
      </x:c>
      <x:c r="H32" s="28" t="str">
        <x:v>Take a real business task and return the AI opportunity, workflow, controls, implementation steps and value measures.</x:v>
      </x:c>
      <x:c r="I32" s="28" t="str">
        <x:v>Original public job source + no-affiliation disclaimer</x:v>
      </x:c>
      <x:c r="J32" s="28" t="str">
        <x:v>READY</x:v>
      </x:c>
      <x:c r="K32" s="28" t="str">
        <x:v>NOT TESTED</x:v>
      </x:c>
      <x:c r="L32" s="28" t="str">
        <x:v>NOT APPLIED</x:v>
      </x:c>
    </x:row>
    <x:row r="33">
      <x:c r="A33" s="28" t="str">
        <x:v>B</x:v>
      </x:c>
      <x:c r="B33" s="28" t="str">
        <x:v>Australian Renewable Energy Agency (ARENA)</x:v>
      </x:c>
      <x:c r="C33" s="28" t="str">
        <x:v>Applications and AI Lead</x:v>
      </x:c>
      <x:c r="D33" s="28" t="str">
        <x:v>/solutions/australian-renewable-energy-agency-arena-applications-and-ai-lead</x:v>
      </x:c>
      <x:c r="E33" s="28" t="str">
        <x:v>Australian Renewable Energy Agency (ARENA) — Applications and AI Lead</x:v>
      </x:c>
      <x:c r="F33" s="28" t="str">
        <x:v>What the public job ad says the role must achieve</x:v>
      </x:c>
      <x:c r="G33" s="28" t="str">
        <x:v>Our Agent has outlined this</x:v>
      </x:c>
      <x:c r="H33" s="28" t="str">
        <x:v>Take a real business task and return the AI opportunity, workflow, controls, implementation steps and value measures.</x:v>
      </x:c>
      <x:c r="I33" s="28" t="str">
        <x:v>Original public job source + no-affiliation disclaimer</x:v>
      </x:c>
      <x:c r="J33" s="28" t="str">
        <x:v>READY</x:v>
      </x:c>
      <x:c r="K33" s="28" t="str">
        <x:v>NOT TESTED</x:v>
      </x:c>
      <x:c r="L33" s="28" t="str">
        <x:v>NOT APPLIED</x:v>
      </x:c>
    </x:row>
    <x:row r="34">
      <x:c r="A34" s="28" t="str">
        <x:v>B</x:v>
      </x:c>
      <x:c r="B34" s="28" t="str">
        <x:v>CBRE Advisory</x:v>
      </x:c>
      <x:c r="C34" s="28" t="str">
        <x:v>AI Analytics Lead</x:v>
      </x:c>
      <x:c r="D34" s="28" t="str">
        <x:v>/solutions/cbre-advisory-ai-analytics-lead</x:v>
      </x:c>
      <x:c r="E34" s="28" t="str">
        <x:v>CBRE Advisory — AI Analytics Lead</x:v>
      </x:c>
      <x:c r="F34" s="28" t="str">
        <x:v>What the public job ad says the role must achieve</x:v>
      </x:c>
      <x:c r="G34" s="28" t="str">
        <x:v>Our Agent has outlined this</x:v>
      </x:c>
      <x:c r="H34" s="28" t="str">
        <x:v>Take a real business task and return the AI opportunity, workflow, controls, implementation steps and value measures.</x:v>
      </x:c>
      <x:c r="I34" s="28" t="str">
        <x:v>Original public job source + no-affiliation disclaimer</x:v>
      </x:c>
      <x:c r="J34" s="28" t="str">
        <x:v>READY</x:v>
      </x:c>
      <x:c r="K34" s="28" t="str">
        <x:v>NOT TESTED</x:v>
      </x:c>
      <x:c r="L34" s="28" t="str">
        <x:v>NOT APPLIED</x:v>
      </x:c>
    </x:row>
    <x:row r="35">
      <x:c r="A35" s="28" t="str">
        <x:v>B</x:v>
      </x:c>
      <x:c r="B35" s="28" t="str">
        <x:v>RSM Australia</x:v>
      </x:c>
      <x:c r="C35" s="28" t="str">
        <x:v>Data Analytics &amp; AI Manager</x:v>
      </x:c>
      <x:c r="D35" s="28" t="str">
        <x:v>/solutions/rsm-australia-data-analytics-ai-manager</x:v>
      </x:c>
      <x:c r="E35" s="28" t="str">
        <x:v>RSM Australia — Data Analytics &amp; AI Manager</x:v>
      </x:c>
      <x:c r="F35" s="28" t="str">
        <x:v>What the public job ad says the role must achieve</x:v>
      </x:c>
      <x:c r="G35" s="28" t="str">
        <x:v>Our Agent has outlined this</x:v>
      </x:c>
      <x:c r="H35" s="28" t="str">
        <x:v>Take a real business task and return the AI opportunity, workflow, controls, implementation steps and value measures.</x:v>
      </x:c>
      <x:c r="I35" s="28" t="str">
        <x:v>Original public job source + no-affiliation disclaimer</x:v>
      </x:c>
      <x:c r="J35" s="28" t="str">
        <x:v>READY</x:v>
      </x:c>
      <x:c r="K35" s="28" t="str">
        <x:v>NOT TESTED</x:v>
      </x:c>
      <x:c r="L35" s="28" t="str">
        <x:v>NOT APPLIED</x:v>
      </x:c>
    </x:row>
  </x:sheetData>
  <x:dataValidations count="3">
    <x:dataValidation type="list" sqref="J2:J35">
      <x:formula1>"READY,BUILDING,BLOCKED,DONE"</x:formula1>
    </x:dataValidation>
    <x:dataValidation type="list" sqref="K2:K35">
      <x:formula1>"NOT TESTED,PASS,FAIL"</x:formula1>
    </x:dataValidation>
    <x:dataValidation type="list" sqref="L2:L35">
      <x:formula1>"NOT APPLIED,APPLIED,INTERVIEW,REJECTED,OFFER"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98d85a2ce74f3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38" hidden="0" customWidth="1"/>
    <x:col min="4" max="4" width="48" hidden="0" customWidth="1"/>
    <x:col min="5" max="5" width="20" hidden="0" customWidth="1"/>
    <x:col min="6" max="6" width="14" hidden="0" customWidth="1"/>
    <x:col min="7" max="7" width="17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42" hidden="0" customWidth="1"/>
  </x:cols>
  <x:sheetData>
    <x:row r="1">
      <x:c r="A1" s="17" t="str">
        <x:v>Priority</x:v>
      </x:c>
      <x:c r="B1" s="17" t="str">
        <x:v>Company</x:v>
      </x:c>
      <x:c r="C1" s="17" t="str">
        <x:v>Role</x:v>
      </x:c>
      <x:c r="D1" s="17" t="str">
        <x:v>Page route</x:v>
      </x:c>
      <x:c r="E1" s="17" t="str">
        <x:v>Job status</x:v>
      </x:c>
      <x:c r="F1" s="17" t="str">
        <x:v>Page built?</x:v>
      </x:c>
      <x:c r="G1" s="17" t="str">
        <x:v>Real tools tested?</x:v>
      </x:c>
      <x:c r="H1" s="17" t="str">
        <x:v>CV tailored?</x:v>
      </x:c>
      <x:c r="I1" s="17" t="str">
        <x:v>Application sent?</x:v>
      </x:c>
      <x:c r="J1" s="17" t="str">
        <x:v>Applied date</x:v>
      </x:c>
      <x:c r="K1" s="17" t="str">
        <x:v>Follow-up date</x:v>
      </x:c>
      <x:c r="L1" s="17" t="str">
        <x:v>Outcome</x:v>
      </x:c>
      <x:c r="M1" s="17" t="str">
        <x:v>Notes</x:v>
      </x:c>
    </x:row>
    <x:row r="2">
      <x:c r="A2" s="28" t="str">
        <x:v>A</x:v>
      </x:c>
      <x:c r="B2" s="28" t="str">
        <x:v>ABC</x:v>
      </x:c>
      <x:c r="C2" s="28" t="str">
        <x:v>AI Adoption Specialist</x:v>
      </x:c>
      <x:c r="D2" s="28" t="str">
        <x:v>/solutions/abc-ai-adoption-specialist</x:v>
      </x:c>
      <x:c r="E2" s="28" t="str">
        <x:v>Live</x:v>
      </x:c>
      <x:c r="F2" s="28" t="str">
        <x:v>No</x:v>
      </x:c>
      <x:c r="G2" s="28" t="str">
        <x:v>No</x:v>
      </x:c>
      <x:c r="H2" s="28" t="str">
        <x:v>No</x:v>
      </x:c>
      <x:c r="I2" s="28" t="str">
        <x:v>No</x:v>
      </x:c>
      <x:c r="J2" s="28"/>
      <x:c r="K2" s="28"/>
      <x:c r="L2" s="28" t="str">
        <x:v>Not started</x:v>
      </x:c>
      <x:c r="M2" s="28" t="str"/>
    </x:row>
    <x:row r="3">
      <x:c r="A3" s="28" t="str">
        <x:v>A</x:v>
      </x:c>
      <x:c r="B3" s="28" t="str">
        <x:v>Australian Financial Complaints Authority</x:v>
      </x:c>
      <x:c r="C3" s="28" t="str">
        <x:v>Manager, AI Governance</x:v>
      </x:c>
      <x:c r="D3" s="28" t="str">
        <x:v>/solutions/australian-financial-complaints-authority-manager-ai-governance</x:v>
      </x:c>
      <x:c r="E3" s="28" t="str">
        <x:v>Live</x:v>
      </x:c>
      <x:c r="F3" s="28" t="str">
        <x:v>No</x:v>
      </x:c>
      <x:c r="G3" s="28" t="str">
        <x:v>No</x:v>
      </x:c>
      <x:c r="H3" s="28" t="str">
        <x:v>No</x:v>
      </x:c>
      <x:c r="I3" s="28" t="str">
        <x:v>No</x:v>
      </x:c>
      <x:c r="J3" s="28"/>
      <x:c r="K3" s="28"/>
      <x:c r="L3" s="28" t="str">
        <x:v>Not started</x:v>
      </x:c>
      <x:c r="M3" s="28" t="str"/>
    </x:row>
    <x:row r="4">
      <x:c r="A4" s="28" t="str">
        <x:v>A</x:v>
      </x:c>
      <x:c r="B4" s="28" t="str">
        <x:v>Australian Retirement Trust</x:v>
      </x:c>
      <x:c r="C4" s="28" t="str">
        <x:v>Manager - AI Governance</x:v>
      </x:c>
      <x:c r="D4" s="28" t="str">
        <x:v>/solutions/australian-retirement-trust-manager-ai-governance</x:v>
      </x:c>
      <x:c r="E4" s="28" t="str">
        <x:v>Live</x:v>
      </x:c>
      <x:c r="F4" s="28" t="str">
        <x:v>No</x:v>
      </x:c>
      <x:c r="G4" s="28" t="str">
        <x:v>No</x:v>
      </x:c>
      <x:c r="H4" s="28" t="str">
        <x:v>No</x:v>
      </x:c>
      <x:c r="I4" s="28" t="str">
        <x:v>No</x:v>
      </x:c>
      <x:c r="J4" s="28"/>
      <x:c r="K4" s="28"/>
      <x:c r="L4" s="28" t="str">
        <x:v>Not started</x:v>
      </x:c>
      <x:c r="M4" s="28" t="str"/>
    </x:row>
    <x:row r="5">
      <x:c r="A5" s="28" t="str">
        <x:v>A</x:v>
      </x:c>
      <x:c r="B5" s="28" t="str">
        <x:v>Bellroy</x:v>
      </x:c>
      <x:c r="C5" s="28" t="str">
        <x:v>AI Enablement Lead</x:v>
      </x:c>
      <x:c r="D5" s="28" t="str">
        <x:v>/solutions/bellroy-ai-enablement-lead</x:v>
      </x:c>
      <x:c r="E5" s="28" t="str">
        <x:v>Live</x:v>
      </x:c>
      <x:c r="F5" s="28" t="str">
        <x:v>No</x:v>
      </x:c>
      <x:c r="G5" s="28" t="str">
        <x:v>No</x:v>
      </x:c>
      <x:c r="H5" s="28" t="str">
        <x:v>No</x:v>
      </x:c>
      <x:c r="I5" s="28" t="str">
        <x:v>No</x:v>
      </x:c>
      <x:c r="J5" s="28"/>
      <x:c r="K5" s="28"/>
      <x:c r="L5" s="28" t="str">
        <x:v>Not started</x:v>
      </x:c>
      <x:c r="M5" s="28" t="str"/>
    </x:row>
    <x:row r="6">
      <x:c r="A6" s="28" t="str">
        <x:v>A</x:v>
      </x:c>
      <x:c r="B6" s="28" t="str">
        <x:v>CBRE Asia Pacific</x:v>
      </x:c>
      <x:c r="C6" s="28" t="str">
        <x:v>AI Adoption Lead</x:v>
      </x:c>
      <x:c r="D6" s="28" t="str">
        <x:v>/solutions/cbre-asia-pacific-ai-adoption-lead</x:v>
      </x:c>
      <x:c r="E6" s="28" t="str">
        <x:v>Live</x:v>
      </x:c>
      <x:c r="F6" s="28" t="str">
        <x:v>No</x:v>
      </x:c>
      <x:c r="G6" s="28" t="str">
        <x:v>No</x:v>
      </x:c>
      <x:c r="H6" s="28" t="str">
        <x:v>No</x:v>
      </x:c>
      <x:c r="I6" s="28" t="str">
        <x:v>No</x:v>
      </x:c>
      <x:c r="J6" s="28"/>
      <x:c r="K6" s="28"/>
      <x:c r="L6" s="28" t="str">
        <x:v>Not started</x:v>
      </x:c>
      <x:c r="M6" s="28" t="str"/>
    </x:row>
    <x:row r="7">
      <x:c r="A7" s="28" t="str">
        <x:v>A</x:v>
      </x:c>
      <x:c r="B7" s="28" t="str">
        <x:v>Commonwealth Bank</x:v>
      </x:c>
      <x:c r="C7" s="28" t="str">
        <x:v>Chapter Lead - AI Enablement &amp; Execution</x:v>
      </x:c>
      <x:c r="D7" s="28" t="str">
        <x:v>/solutions/commonwealth-bank-chapter-lead-ai-enablement-execution</x:v>
      </x:c>
      <x:c r="E7" s="28" t="str">
        <x:v>Recent / verify before applying</x:v>
      </x:c>
      <x:c r="F7" s="28" t="str">
        <x:v>No</x:v>
      </x:c>
      <x:c r="G7" s="28" t="str">
        <x:v>No</x:v>
      </x:c>
      <x:c r="H7" s="28" t="str">
        <x:v>No</x:v>
      </x:c>
      <x:c r="I7" s="28" t="str">
        <x:v>No</x:v>
      </x:c>
      <x:c r="J7" s="28"/>
      <x:c r="K7" s="28"/>
      <x:c r="L7" s="28" t="str">
        <x:v>Not started</x:v>
      </x:c>
      <x:c r="M7" s="28" t="str"/>
    </x:row>
    <x:row r="8">
      <x:c r="A8" s="28" t="str">
        <x:v>A</x:v>
      </x:c>
      <x:c r="B8" s="28" t="str">
        <x:v>David Jones</x:v>
      </x:c>
      <x:c r="C8" s="28" t="str">
        <x:v>AI Capability &amp; Enablement Lead</x:v>
      </x:c>
      <x:c r="D8" s="28" t="str">
        <x:v>/solutions/david-jones-ai-capability-enablement-lead</x:v>
      </x:c>
      <x:c r="E8" s="28" t="str">
        <x:v>Live</x:v>
      </x:c>
      <x:c r="F8" s="28" t="str">
        <x:v>No</x:v>
      </x:c>
      <x:c r="G8" s="28" t="str">
        <x:v>No</x:v>
      </x:c>
      <x:c r="H8" s="28" t="str">
        <x:v>No</x:v>
      </x:c>
      <x:c r="I8" s="28" t="str">
        <x:v>No</x:v>
      </x:c>
      <x:c r="J8" s="28"/>
      <x:c r="K8" s="28"/>
      <x:c r="L8" s="28" t="str">
        <x:v>Not started</x:v>
      </x:c>
      <x:c r="M8" s="28" t="str"/>
    </x:row>
    <x:row r="9">
      <x:c r="A9" s="28" t="str">
        <x:v>A</x:v>
      </x:c>
      <x:c r="B9" s="28" t="str">
        <x:v>Deloitte Australia</x:v>
      </x:c>
      <x:c r="C9" s="28" t="str">
        <x:v>AI Value &amp; Adoption Lead - Director</x:v>
      </x:c>
      <x:c r="D9" s="28" t="str">
        <x:v>/solutions/deloitte-australia-ai-value-adoption-lead-director</x:v>
      </x:c>
      <x:c r="E9" s="28" t="str">
        <x:v>Live</x:v>
      </x:c>
      <x:c r="F9" s="28" t="str">
        <x:v>No</x:v>
      </x:c>
      <x:c r="G9" s="28" t="str">
        <x:v>No</x:v>
      </x:c>
      <x:c r="H9" s="28" t="str">
        <x:v>No</x:v>
      </x:c>
      <x:c r="I9" s="28" t="str">
        <x:v>No</x:v>
      </x:c>
      <x:c r="J9" s="28"/>
      <x:c r="K9" s="28"/>
      <x:c r="L9" s="28" t="str">
        <x:v>Not started</x:v>
      </x:c>
      <x:c r="M9" s="28" t="str"/>
    </x:row>
    <x:row r="10">
      <x:c r="A10" s="28" t="str">
        <x:v>A</x:v>
      </x:c>
      <x:c r="B10" s="28" t="str">
        <x:v>Findex</x:v>
      </x:c>
      <x:c r="C10" s="28" t="str">
        <x:v>AI &amp; Digital Tools Adoption Lead</x:v>
      </x:c>
      <x:c r="D10" s="28" t="str">
        <x:v>/solutions/findex-ai-digital-tools-adoption-lead</x:v>
      </x:c>
      <x:c r="E10" s="28" t="str">
        <x:v>Live</x:v>
      </x:c>
      <x:c r="F10" s="28" t="str">
        <x:v>No</x:v>
      </x:c>
      <x:c r="G10" s="28" t="str">
        <x:v>No</x:v>
      </x:c>
      <x:c r="H10" s="28" t="str">
        <x:v>No</x:v>
      </x:c>
      <x:c r="I10" s="28" t="str">
        <x:v>No</x:v>
      </x:c>
      <x:c r="J10" s="28"/>
      <x:c r="K10" s="28"/>
      <x:c r="L10" s="28" t="str">
        <x:v>Not started</x:v>
      </x:c>
      <x:c r="M10" s="28" t="str"/>
    </x:row>
    <x:row r="11">
      <x:c r="A11" s="28" t="str">
        <x:v>A</x:v>
      </x:c>
      <x:c r="B11" s="28" t="str">
        <x:v>Georgiou Group</x:v>
      </x:c>
      <x:c r="C11" s="28" t="str">
        <x:v>AI Enablement Lead</x:v>
      </x:c>
      <x:c r="D11" s="28" t="str">
        <x:v>/solutions/georgiou-group-ai-enablement-lead</x:v>
      </x:c>
      <x:c r="E11" s="28" t="str">
        <x:v>Live</x:v>
      </x:c>
      <x:c r="F11" s="28" t="str">
        <x:v>No</x:v>
      </x:c>
      <x:c r="G11" s="28" t="str">
        <x:v>No</x:v>
      </x:c>
      <x:c r="H11" s="28" t="str">
        <x:v>No</x:v>
      </x:c>
      <x:c r="I11" s="28" t="str">
        <x:v>No</x:v>
      </x:c>
      <x:c r="J11" s="28"/>
      <x:c r="K11" s="28"/>
      <x:c r="L11" s="28" t="str">
        <x:v>Not started</x:v>
      </x:c>
      <x:c r="M11" s="28" t="str"/>
    </x:row>
    <x:row r="12">
      <x:c r="A12" s="28" t="str">
        <x:v>A</x:v>
      </x:c>
      <x:c r="B12" s="28" t="str">
        <x:v>Icon Group</x:v>
      </x:c>
      <x:c r="C12" s="28" t="str">
        <x:v>Project Trainer - National Heidi AI Adoption</x:v>
      </x:c>
      <x:c r="D12" s="28" t="str">
        <x:v>/solutions/icon-group-project-trainer-national-heidi-ai-adoption</x:v>
      </x:c>
      <x:c r="E12" s="28" t="str">
        <x:v>Live</x:v>
      </x:c>
      <x:c r="F12" s="28" t="str">
        <x:v>No</x:v>
      </x:c>
      <x:c r="G12" s="28" t="str">
        <x:v>No</x:v>
      </x:c>
      <x:c r="H12" s="28" t="str">
        <x:v>No</x:v>
      </x:c>
      <x:c r="I12" s="28" t="str">
        <x:v>No</x:v>
      </x:c>
      <x:c r="J12" s="28"/>
      <x:c r="K12" s="28"/>
      <x:c r="L12" s="28" t="str">
        <x:v>Not started</x:v>
      </x:c>
      <x:c r="M12" s="28" t="str"/>
    </x:row>
    <x:row r="13">
      <x:c r="A13" s="28" t="str">
        <x:v>A</x:v>
      </x:c>
      <x:c r="B13" s="28" t="str">
        <x:v>Insentra</x:v>
      </x:c>
      <x:c r="C13" s="28" t="str">
        <x:v>AI Adoption Lead</x:v>
      </x:c>
      <x:c r="D13" s="28" t="str">
        <x:v>/solutions/insentra-ai-adoption-lead</x:v>
      </x:c>
      <x:c r="E13" s="28" t="str">
        <x:v>Live</x:v>
      </x:c>
      <x:c r="F13" s="28" t="str">
        <x:v>No</x:v>
      </x:c>
      <x:c r="G13" s="28" t="str">
        <x:v>No</x:v>
      </x:c>
      <x:c r="H13" s="28" t="str">
        <x:v>No</x:v>
      </x:c>
      <x:c r="I13" s="28" t="str">
        <x:v>No</x:v>
      </x:c>
      <x:c r="J13" s="28"/>
      <x:c r="K13" s="28"/>
      <x:c r="L13" s="28" t="str">
        <x:v>Not started</x:v>
      </x:c>
      <x:c r="M13" s="28" t="str"/>
    </x:row>
    <x:row r="14">
      <x:c r="A14" s="28" t="str">
        <x:v>A</x:v>
      </x:c>
      <x:c r="B14" s="28" t="str">
        <x:v>Insignia Financial</x:v>
      </x:c>
      <x:c r="C14" s="28" t="str">
        <x:v>Head of AI Adoption &amp; Transformation</x:v>
      </x:c>
      <x:c r="D14" s="28" t="str">
        <x:v>/solutions/insignia-financial-head-of-ai-adoption-transformation</x:v>
      </x:c>
      <x:c r="E14" s="28" t="str">
        <x:v>Live / recent</x:v>
      </x:c>
      <x:c r="F14" s="28" t="str">
        <x:v>No</x:v>
      </x:c>
      <x:c r="G14" s="28" t="str">
        <x:v>No</x:v>
      </x:c>
      <x:c r="H14" s="28" t="str">
        <x:v>No</x:v>
      </x:c>
      <x:c r="I14" s="28" t="str">
        <x:v>No</x:v>
      </x:c>
      <x:c r="J14" s="28"/>
      <x:c r="K14" s="28"/>
      <x:c r="L14" s="28" t="str">
        <x:v>Not started</x:v>
      </x:c>
      <x:c r="M14" s="28" t="str"/>
    </x:row>
    <x:row r="15">
      <x:c r="A15" s="28" t="str">
        <x:v>A</x:v>
      </x:c>
      <x:c r="B15" s="28" t="str">
        <x:v>MinterEllison</x:v>
      </x:c>
      <x:c r="C15" s="28" t="str">
        <x:v>Senior Manager Optimisation &amp; AI Enablement</x:v>
      </x:c>
      <x:c r="D15" s="28" t="str">
        <x:v>/solutions/minterellison-senior-manager-optimisation-ai-enablement</x:v>
      </x:c>
      <x:c r="E15" s="28" t="str">
        <x:v>Live</x:v>
      </x:c>
      <x:c r="F15" s="28" t="str">
        <x:v>No</x:v>
      </x:c>
      <x:c r="G15" s="28" t="str">
        <x:v>No</x:v>
      </x:c>
      <x:c r="H15" s="28" t="str">
        <x:v>No</x:v>
      </x:c>
      <x:c r="I15" s="28" t="str">
        <x:v>No</x:v>
      </x:c>
      <x:c r="J15" s="28"/>
      <x:c r="K15" s="28"/>
      <x:c r="L15" s="28" t="str">
        <x:v>Not started</x:v>
      </x:c>
      <x:c r="M15" s="28" t="str"/>
    </x:row>
    <x:row r="16">
      <x:c r="A16" s="28" t="str">
        <x:v>A</x:v>
      </x:c>
      <x:c r="B16" s="28" t="str">
        <x:v>NSW Department of Customer Service</x:v>
      </x:c>
      <x:c r="C16" s="28" t="str">
        <x:v>Manager, Data &amp; AI Governance</x:v>
      </x:c>
      <x:c r="D16" s="28" t="str">
        <x:v>/solutions/nsw-department-of-customer-service-manager-data-ai-governance</x:v>
      </x:c>
      <x:c r="E16" s="28" t="str">
        <x:v>Live</x:v>
      </x:c>
      <x:c r="F16" s="28" t="str">
        <x:v>No</x:v>
      </x:c>
      <x:c r="G16" s="28" t="str">
        <x:v>No</x:v>
      </x:c>
      <x:c r="H16" s="28" t="str">
        <x:v>No</x:v>
      </x:c>
      <x:c r="I16" s="28" t="str">
        <x:v>No</x:v>
      </x:c>
      <x:c r="J16" s="28"/>
      <x:c r="K16" s="28"/>
      <x:c r="L16" s="28" t="str">
        <x:v>Not started</x:v>
      </x:c>
      <x:c r="M16" s="28" t="str"/>
    </x:row>
    <x:row r="17">
      <x:c r="A17" s="28" t="str">
        <x:v>A</x:v>
      </x:c>
      <x:c r="B17" s="28" t="str">
        <x:v>Novigi</x:v>
      </x:c>
      <x:c r="C17" s="28" t="str">
        <x:v>AI Adoption Coach</x:v>
      </x:c>
      <x:c r="D17" s="28" t="str">
        <x:v>/solutions/novigi-ai-adoption-coach</x:v>
      </x:c>
      <x:c r="E17" s="28" t="str">
        <x:v>Live</x:v>
      </x:c>
      <x:c r="F17" s="28" t="str">
        <x:v>No</x:v>
      </x:c>
      <x:c r="G17" s="28" t="str">
        <x:v>No</x:v>
      </x:c>
      <x:c r="H17" s="28" t="str">
        <x:v>No</x:v>
      </x:c>
      <x:c r="I17" s="28" t="str">
        <x:v>No</x:v>
      </x:c>
      <x:c r="J17" s="28"/>
      <x:c r="K17" s="28"/>
      <x:c r="L17" s="28" t="str">
        <x:v>Not started</x:v>
      </x:c>
      <x:c r="M17" s="28" t="str"/>
    </x:row>
    <x:row r="18">
      <x:c r="A18" s="28" t="str">
        <x:v>A</x:v>
      </x:c>
      <x:c r="B18" s="28" t="str">
        <x:v>Novigi</x:v>
      </x:c>
      <x:c r="C18" s="28" t="str">
        <x:v>AI Adoption Programme Co-ordinator</x:v>
      </x:c>
      <x:c r="D18" s="28" t="str">
        <x:v>/solutions/novigi-ai-adoption-programme-co-ordinator</x:v>
      </x:c>
      <x:c r="E18" s="28" t="str">
        <x:v>Live</x:v>
      </x:c>
      <x:c r="F18" s="28" t="str">
        <x:v>No</x:v>
      </x:c>
      <x:c r="G18" s="28" t="str">
        <x:v>No</x:v>
      </x:c>
      <x:c r="H18" s="28" t="str">
        <x:v>No</x:v>
      </x:c>
      <x:c r="I18" s="28" t="str">
        <x:v>No</x:v>
      </x:c>
      <x:c r="J18" s="28"/>
      <x:c r="K18" s="28"/>
      <x:c r="L18" s="28" t="str">
        <x:v>Not started</x:v>
      </x:c>
      <x:c r="M18" s="28" t="str"/>
    </x:row>
    <x:row r="19">
      <x:c r="A19" s="28" t="str">
        <x:v>A</x:v>
      </x:c>
      <x:c r="B19" s="28" t="str">
        <x:v>SSI</x:v>
      </x:c>
      <x:c r="C19" s="28" t="str">
        <x:v>AI Enablement and Adoption Lead</x:v>
      </x:c>
      <x:c r="D19" s="28" t="str">
        <x:v>/solutions/ssi-ai-enablement-and-adoption-lead</x:v>
      </x:c>
      <x:c r="E19" s="28" t="str">
        <x:v>Live</x:v>
      </x:c>
      <x:c r="F19" s="28" t="str">
        <x:v>No</x:v>
      </x:c>
      <x:c r="G19" s="28" t="str">
        <x:v>No</x:v>
      </x:c>
      <x:c r="H19" s="28" t="str">
        <x:v>No</x:v>
      </x:c>
      <x:c r="I19" s="28" t="str">
        <x:v>No</x:v>
      </x:c>
      <x:c r="J19" s="28"/>
      <x:c r="K19" s="28"/>
      <x:c r="L19" s="28" t="str">
        <x:v>Not started</x:v>
      </x:c>
      <x:c r="M19" s="28" t="str"/>
    </x:row>
    <x:row r="20">
      <x:c r="A20" s="28" t="str">
        <x:v>A</x:v>
      </x:c>
      <x:c r="B20" s="28" t="str">
        <x:v>Techtronic Industries</x:v>
      </x:c>
      <x:c r="C20" s="28" t="str">
        <x:v>AI Governance &amp; Enablement Lead ANZ</x:v>
      </x:c>
      <x:c r="D20" s="28" t="str">
        <x:v>/solutions/techtronic-industries-ai-governance-enablement-lead-anz</x:v>
      </x:c>
      <x:c r="E20" s="28" t="str">
        <x:v>Live</x:v>
      </x:c>
      <x:c r="F20" s="28" t="str">
        <x:v>No</x:v>
      </x:c>
      <x:c r="G20" s="28" t="str">
        <x:v>No</x:v>
      </x:c>
      <x:c r="H20" s="28" t="str">
        <x:v>No</x:v>
      </x:c>
      <x:c r="I20" s="28" t="str">
        <x:v>No</x:v>
      </x:c>
      <x:c r="J20" s="28"/>
      <x:c r="K20" s="28"/>
      <x:c r="L20" s="28" t="str">
        <x:v>Not started</x:v>
      </x:c>
      <x:c r="M20" s="28" t="str"/>
    </x:row>
    <x:row r="21">
      <x:c r="A21" s="28" t="str">
        <x:v>A</x:v>
      </x:c>
      <x:c r="B21" s="28" t="str">
        <x:v>The Arnott's Group</x:v>
      </x:c>
      <x:c r="C21" s="28" t="str">
        <x:v>AI Enablement and Adoption Lead</x:v>
      </x:c>
      <x:c r="D21" s="28" t="str">
        <x:v>/solutions/the-arnott-s-group-ai-enablement-and-adoption-lead</x:v>
      </x:c>
      <x:c r="E21" s="28" t="str">
        <x:v>Live</x:v>
      </x:c>
      <x:c r="F21" s="28" t="str">
        <x:v>No</x:v>
      </x:c>
      <x:c r="G21" s="28" t="str">
        <x:v>No</x:v>
      </x:c>
      <x:c r="H21" s="28" t="str">
        <x:v>No</x:v>
      </x:c>
      <x:c r="I21" s="28" t="str">
        <x:v>No</x:v>
      </x:c>
      <x:c r="J21" s="28"/>
      <x:c r="K21" s="28"/>
      <x:c r="L21" s="28" t="str">
        <x:v>Not started</x:v>
      </x:c>
      <x:c r="M21" s="28" t="str"/>
    </x:row>
    <x:row r="22">
      <x:c r="A22" s="28" t="str">
        <x:v>A</x:v>
      </x:c>
      <x:c r="B22" s="28" t="str">
        <x:v>Thomsons Lawyers</x:v>
      </x:c>
      <x:c r="C22" s="28" t="str">
        <x:v>Technology &amp; AI Trainer</x:v>
      </x:c>
      <x:c r="D22" s="28" t="str">
        <x:v>/solutions/thomsons-lawyers-technology-ai-trainer</x:v>
      </x:c>
      <x:c r="E22" s="28" t="str">
        <x:v>Recent / expiring</x:v>
      </x:c>
      <x:c r="F22" s="28" t="str">
        <x:v>No</x:v>
      </x:c>
      <x:c r="G22" s="28" t="str">
        <x:v>No</x:v>
      </x:c>
      <x:c r="H22" s="28" t="str">
        <x:v>No</x:v>
      </x:c>
      <x:c r="I22" s="28" t="str">
        <x:v>No</x:v>
      </x:c>
      <x:c r="J22" s="28"/>
      <x:c r="K22" s="28"/>
      <x:c r="L22" s="28" t="str">
        <x:v>Not started</x:v>
      </x:c>
      <x:c r="M22" s="28" t="str"/>
    </x:row>
    <x:row r="23">
      <x:c r="A23" s="28" t="str">
        <x:v>B</x:v>
      </x:c>
      <x:c r="B23" s="28" t="str">
        <x:v>Australian Renewable Energy Agency (ARENA)</x:v>
      </x:c>
      <x:c r="C23" s="28" t="str">
        <x:v>Applications and AI Lead</x:v>
      </x:c>
      <x:c r="D23" s="28" t="str">
        <x:v>/solutions/australian-renewable-energy-agency-arena-applications-and-ai-lead</x:v>
      </x:c>
      <x:c r="E23" s="28" t="str">
        <x:v>Live</x:v>
      </x:c>
      <x:c r="F23" s="28" t="str">
        <x:v>No</x:v>
      </x:c>
      <x:c r="G23" s="28" t="str">
        <x:v>No</x:v>
      </x:c>
      <x:c r="H23" s="28" t="str">
        <x:v>No</x:v>
      </x:c>
      <x:c r="I23" s="28" t="str">
        <x:v>No</x:v>
      </x:c>
      <x:c r="J23" s="28"/>
      <x:c r="K23" s="28"/>
      <x:c r="L23" s="28" t="str">
        <x:v>Not started</x:v>
      </x:c>
      <x:c r="M23" s="28" t="str"/>
    </x:row>
    <x:row r="24">
      <x:c r="A24" s="28" t="str">
        <x:v>B</x:v>
      </x:c>
      <x:c r="B24" s="28" t="str">
        <x:v>Australian Retirement Trust</x:v>
      </x:c>
      <x:c r="C24" s="28" t="str">
        <x:v>AI Governance Specialist</x:v>
      </x:c>
      <x:c r="D24" s="28" t="str">
        <x:v>/solutions/australian-retirement-trust-ai-governance-specialist</x:v>
      </x:c>
      <x:c r="E24" s="28" t="str">
        <x:v>Live</x:v>
      </x:c>
      <x:c r="F24" s="28" t="str">
        <x:v>No</x:v>
      </x:c>
      <x:c r="G24" s="28" t="str">
        <x:v>No</x:v>
      </x:c>
      <x:c r="H24" s="28" t="str">
        <x:v>No</x:v>
      </x:c>
      <x:c r="I24" s="28" t="str">
        <x:v>No</x:v>
      </x:c>
      <x:c r="J24" s="28"/>
      <x:c r="K24" s="28"/>
      <x:c r="L24" s="28" t="str">
        <x:v>Not started</x:v>
      </x:c>
      <x:c r="M24" s="28" t="str"/>
    </x:row>
    <x:row r="25">
      <x:c r="A25" s="28" t="str">
        <x:v>B</x:v>
      </x:c>
      <x:c r="B25" s="28" t="str">
        <x:v>CBRE Advisory</x:v>
      </x:c>
      <x:c r="C25" s="28" t="str">
        <x:v>AI Analytics Lead</x:v>
      </x:c>
      <x:c r="D25" s="28" t="str">
        <x:v>/solutions/cbre-advisory-ai-analytics-lead</x:v>
      </x:c>
      <x:c r="E25" s="28" t="str">
        <x:v>Live</x:v>
      </x:c>
      <x:c r="F25" s="28" t="str">
        <x:v>No</x:v>
      </x:c>
      <x:c r="G25" s="28" t="str">
        <x:v>No</x:v>
      </x:c>
      <x:c r="H25" s="28" t="str">
        <x:v>No</x:v>
      </x:c>
      <x:c r="I25" s="28" t="str">
        <x:v>No</x:v>
      </x:c>
      <x:c r="J25" s="28"/>
      <x:c r="K25" s="28"/>
      <x:c r="L25" s="28" t="str">
        <x:v>Not started</x:v>
      </x:c>
      <x:c r="M25" s="28" t="str"/>
    </x:row>
    <x:row r="26">
      <x:c r="A26" s="28" t="str">
        <x:v>B</x:v>
      </x:c>
      <x:c r="B26" s="28" t="str">
        <x:v>Central Land Council</x:v>
      </x:c>
      <x:c r="C26" s="28" t="str">
        <x:v>PM009 - AI Specialist</x:v>
      </x:c>
      <x:c r="D26" s="28" t="str">
        <x:v>/solutions/central-land-council-pm009-ai-specialist</x:v>
      </x:c>
      <x:c r="E26" s="28" t="str">
        <x:v>Live</x:v>
      </x:c>
      <x:c r="F26" s="28" t="str">
        <x:v>No</x:v>
      </x:c>
      <x:c r="G26" s="28" t="str">
        <x:v>No</x:v>
      </x:c>
      <x:c r="H26" s="28" t="str">
        <x:v>No</x:v>
      </x:c>
      <x:c r="I26" s="28" t="str">
        <x:v>No</x:v>
      </x:c>
      <x:c r="J26" s="28"/>
      <x:c r="K26" s="28"/>
      <x:c r="L26" s="28" t="str">
        <x:v>Not started</x:v>
      </x:c>
      <x:c r="M26" s="28" t="str"/>
    </x:row>
    <x:row r="27">
      <x:c r="A27" s="28" t="str">
        <x:v>B</x:v>
      </x:c>
      <x:c r="B27" s="28" t="str">
        <x:v>City of Stonnington</x:v>
      </x:c>
      <x:c r="C27" s="28" t="str">
        <x:v>AI Enablement Lead</x:v>
      </x:c>
      <x:c r="D27" s="28" t="str">
        <x:v>/solutions/city-of-stonnington-ai-enablement-lead</x:v>
      </x:c>
      <x:c r="E27" s="28" t="str">
        <x:v>Recent / expiring</x:v>
      </x:c>
      <x:c r="F27" s="28" t="str">
        <x:v>No</x:v>
      </x:c>
      <x:c r="G27" s="28" t="str">
        <x:v>No</x:v>
      </x:c>
      <x:c r="H27" s="28" t="str">
        <x:v>No</x:v>
      </x:c>
      <x:c r="I27" s="28" t="str">
        <x:v>No</x:v>
      </x:c>
      <x:c r="J27" s="28"/>
      <x:c r="K27" s="28"/>
      <x:c r="L27" s="28" t="str">
        <x:v>Not started</x:v>
      </x:c>
      <x:c r="M27" s="28" t="str"/>
    </x:row>
    <x:row r="28">
      <x:c r="A28" s="28" t="str">
        <x:v>B</x:v>
      </x:c>
      <x:c r="B28" s="28" t="str">
        <x:v>City of Whittlesea</x:v>
      </x:c>
      <x:c r="C28" s="28" t="str">
        <x:v>AI Solutions Officer</x:v>
      </x:c>
      <x:c r="D28" s="28" t="str">
        <x:v>/solutions/city-of-whittlesea-ai-solutions-officer</x:v>
      </x:c>
      <x:c r="E28" s="28" t="str">
        <x:v>Recent / expiring</x:v>
      </x:c>
      <x:c r="F28" s="28" t="str">
        <x:v>No</x:v>
      </x:c>
      <x:c r="G28" s="28" t="str">
        <x:v>No</x:v>
      </x:c>
      <x:c r="H28" s="28" t="str">
        <x:v>No</x:v>
      </x:c>
      <x:c r="I28" s="28" t="str">
        <x:v>No</x:v>
      </x:c>
      <x:c r="J28" s="28"/>
      <x:c r="K28" s="28"/>
      <x:c r="L28" s="28" t="str">
        <x:v>Not started</x:v>
      </x:c>
      <x:c r="M28" s="28" t="str"/>
    </x:row>
    <x:row r="29">
      <x:c r="A29" s="28" t="str">
        <x:v>B</x:v>
      </x:c>
      <x:c r="B29" s="28" t="str">
        <x:v>Epiphany Training + Consulting</x:v>
      </x:c>
      <x:c r="C29" s="28" t="str">
        <x:v>AI Consultant</x:v>
      </x:c>
      <x:c r="D29" s="28" t="str">
        <x:v>/solutions/epiphany-training-consulting-ai-consultant</x:v>
      </x:c>
      <x:c r="E29" s="28" t="str">
        <x:v>Live</x:v>
      </x:c>
      <x:c r="F29" s="28" t="str">
        <x:v>No</x:v>
      </x:c>
      <x:c r="G29" s="28" t="str">
        <x:v>No</x:v>
      </x:c>
      <x:c r="H29" s="28" t="str">
        <x:v>No</x:v>
      </x:c>
      <x:c r="I29" s="28" t="str">
        <x:v>No</x:v>
      </x:c>
      <x:c r="J29" s="28"/>
      <x:c r="K29" s="28"/>
      <x:c r="L29" s="28" t="str">
        <x:v>Not started</x:v>
      </x:c>
      <x:c r="M29" s="28" t="str"/>
    </x:row>
    <x:row r="30">
      <x:c r="A30" s="28" t="str">
        <x:v>B</x:v>
      </x:c>
      <x:c r="B30" s="28" t="str">
        <x:v>Great Southern Bank</x:v>
      </x:c>
      <x:c r="C30" s="28" t="str">
        <x:v>Data and AI Governance Specialist</x:v>
      </x:c>
      <x:c r="D30" s="28" t="str">
        <x:v>/solutions/great-southern-bank-data-and-ai-governance-specialist</x:v>
      </x:c>
      <x:c r="E30" s="28" t="str">
        <x:v>Live</x:v>
      </x:c>
      <x:c r="F30" s="28" t="str">
        <x:v>No</x:v>
      </x:c>
      <x:c r="G30" s="28" t="str">
        <x:v>No</x:v>
      </x:c>
      <x:c r="H30" s="28" t="str">
        <x:v>No</x:v>
      </x:c>
      <x:c r="I30" s="28" t="str">
        <x:v>No</x:v>
      </x:c>
      <x:c r="J30" s="28"/>
      <x:c r="K30" s="28"/>
      <x:c r="L30" s="28" t="str">
        <x:v>Not started</x:v>
      </x:c>
      <x:c r="M30" s="28" t="str"/>
    </x:row>
    <x:row r="31">
      <x:c r="A31" s="28" t="str">
        <x:v>B</x:v>
      </x:c>
      <x:c r="B31" s="28" t="str">
        <x:v>RSM Australia</x:v>
      </x:c>
      <x:c r="C31" s="28" t="str">
        <x:v>Data Analytics &amp; AI Manager</x:v>
      </x:c>
      <x:c r="D31" s="28" t="str">
        <x:v>/solutions/rsm-australia-data-analytics-ai-manager</x:v>
      </x:c>
      <x:c r="E31" s="28" t="str">
        <x:v>Live</x:v>
      </x:c>
      <x:c r="F31" s="28" t="str">
        <x:v>No</x:v>
      </x:c>
      <x:c r="G31" s="28" t="str">
        <x:v>No</x:v>
      </x:c>
      <x:c r="H31" s="28" t="str">
        <x:v>No</x:v>
      </x:c>
      <x:c r="I31" s="28" t="str">
        <x:v>No</x:v>
      </x:c>
      <x:c r="J31" s="28"/>
      <x:c r="K31" s="28"/>
      <x:c r="L31" s="28" t="str">
        <x:v>Not started</x:v>
      </x:c>
      <x:c r="M31" s="28" t="str"/>
    </x:row>
    <x:row r="32">
      <x:c r="A32" s="28" t="str">
        <x:v>B</x:v>
      </x:c>
      <x:c r="B32" s="28" t="str">
        <x:v>Team 400</x:v>
      </x:c>
      <x:c r="C32" s="28" t="str">
        <x:v>AI Trainer &amp; AI Agent Consultant</x:v>
      </x:c>
      <x:c r="D32" s="28" t="str">
        <x:v>/solutions/team-400-ai-trainer-ai-agent-consultant</x:v>
      </x:c>
      <x:c r="E32" s="28" t="str">
        <x:v>Live</x:v>
      </x:c>
      <x:c r="F32" s="28" t="str">
        <x:v>No</x:v>
      </x:c>
      <x:c r="G32" s="28" t="str">
        <x:v>No</x:v>
      </x:c>
      <x:c r="H32" s="28" t="str">
        <x:v>No</x:v>
      </x:c>
      <x:c r="I32" s="28" t="str">
        <x:v>No</x:v>
      </x:c>
      <x:c r="J32" s="28"/>
      <x:c r="K32" s="28"/>
      <x:c r="L32" s="28" t="str">
        <x:v>Not started</x:v>
      </x:c>
      <x:c r="M32" s="28" t="str"/>
    </x:row>
    <x:row r="33">
      <x:c r="A33" s="28" t="str">
        <x:v>B</x:v>
      </x:c>
      <x:c r="B33" s="28" t="str">
        <x:v>Victorian Department of Energy, Environment and Climate Action</x:v>
      </x:c>
      <x:c r="C33" s="28" t="str">
        <x:v>AI &amp; Data Lead</x:v>
      </x:c>
      <x:c r="D33" s="28" t="str">
        <x:v>/solutions/victorian-department-of-energy-environment-and-climate-action-ai-data-lead</x:v>
      </x:c>
      <x:c r="E33" s="28" t="str">
        <x:v>Recent / expiring</x:v>
      </x:c>
      <x:c r="F33" s="28" t="str">
        <x:v>No</x:v>
      </x:c>
      <x:c r="G33" s="28" t="str">
        <x:v>No</x:v>
      </x:c>
      <x:c r="H33" s="28" t="str">
        <x:v>No</x:v>
      </x:c>
      <x:c r="I33" s="28" t="str">
        <x:v>No</x:v>
      </x:c>
      <x:c r="J33" s="28"/>
      <x:c r="K33" s="28"/>
      <x:c r="L33" s="28" t="str">
        <x:v>Not started</x:v>
      </x:c>
      <x:c r="M33" s="28" t="str"/>
    </x:row>
    <x:row r="34">
      <x:c r="A34" s="28" t="str">
        <x:v>B</x:v>
      </x:c>
      <x:c r="B34" s="28" t="str">
        <x:v>Victorian Department of Energy, Environment and Climate Action</x:v>
      </x:c>
      <x:c r="C34" s="28" t="str">
        <x:v>Artificial Intelligence (AI) Technical Specialist</x:v>
      </x:c>
      <x:c r="D34" s="28" t="str">
        <x:v>/solutions/victorian-department-of-energy-environment-and-climate-action-artificial-intelli</x:v>
      </x:c>
      <x:c r="E34" s="28" t="str">
        <x:v>Recent / expiring</x:v>
      </x:c>
      <x:c r="F34" s="28" t="str">
        <x:v>No</x:v>
      </x:c>
      <x:c r="G34" s="28" t="str">
        <x:v>No</x:v>
      </x:c>
      <x:c r="H34" s="28" t="str">
        <x:v>No</x:v>
      </x:c>
      <x:c r="I34" s="28" t="str">
        <x:v>No</x:v>
      </x:c>
      <x:c r="J34" s="28"/>
      <x:c r="K34" s="28"/>
      <x:c r="L34" s="28" t="str">
        <x:v>Not started</x:v>
      </x:c>
      <x:c r="M34" s="28" t="str"/>
    </x:row>
    <x:row r="35">
      <x:c r="A35" s="28" t="str">
        <x:v>B</x:v>
      </x:c>
      <x:c r="B35" s="28" t="str">
        <x:v>Wesfarmers Chemicals, Energy &amp; Fertilisers</x:v>
      </x:c>
      <x:c r="C35" s="28" t="str">
        <x:v>Digital Enablement Specialist (AI Transformation)</x:v>
      </x:c>
      <x:c r="D35" s="28" t="str">
        <x:v>/solutions/wesfarmers-chemicals-energy-fertilisers-digital-enablement-specialist-ai-transfo</x:v>
      </x:c>
      <x:c r="E35" s="28" t="str">
        <x:v>Live</x:v>
      </x:c>
      <x:c r="F35" s="28" t="str">
        <x:v>No</x:v>
      </x:c>
      <x:c r="G35" s="28" t="str">
        <x:v>No</x:v>
      </x:c>
      <x:c r="H35" s="28" t="str">
        <x:v>No</x:v>
      </x:c>
      <x:c r="I35" s="28" t="str">
        <x:v>No</x:v>
      </x:c>
      <x:c r="J35" s="28"/>
      <x:c r="K35" s="28"/>
      <x:c r="L35" s="28" t="str">
        <x:v>Not started</x:v>
      </x:c>
      <x:c r="M35" s="28" t="str"/>
    </x:row>
  </x:sheetData>
  <x:dataValidations count="5">
    <x:dataValidation type="list" sqref="F2:F35">
      <x:formula1>"No,Yes"</x:formula1>
    </x:dataValidation>
    <x:dataValidation type="list" sqref="G2:G35">
      <x:formula1>"No,Yes"</x:formula1>
    </x:dataValidation>
    <x:dataValidation type="list" sqref="H2:H35">
      <x:formula1>"No,Yes"</x:formula1>
    </x:dataValidation>
    <x:dataValidation type="list" sqref="I2:I35">
      <x:formula1>"No,Yes"</x:formula1>
    </x:dataValidation>
    <x:dataValidation type="list" sqref="L2:L35">
      <x:formula1>"Not started,Applied,Interview,Rejected,Offer,Withdrawn"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78a13db94c45b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34" hidden="0" customWidth="1"/>
    <x:col min="4" max="4" width="78" hidden="0" customWidth="1"/>
    <x:col min="5" max="5" width="16" hidden="0" customWidth="1"/>
  </x:cols>
  <x:sheetData>
    <x:row r="1">
      <x:c r="A1" s="17" t="str">
        <x:v>Priority</x:v>
      </x:c>
      <x:c r="B1" s="17" t="str">
        <x:v>Area</x:v>
      </x:c>
      <x:c r="C1" s="17" t="str">
        <x:v>Build item</x:v>
      </x:c>
      <x:c r="D1" s="17" t="str">
        <x:v>Definition of done</x:v>
      </x:c>
      <x:c r="E1" s="17" t="str">
        <x:v>Status</x:v>
      </x:c>
    </x:row>
    <x:row r="2">
      <x:c r="A2" s="28" t="str">
        <x:v>P0</x:v>
      </x:c>
      <x:c r="B2" s="28" t="str">
        <x:v>Core</x:v>
      </x:c>
      <x:c r="C2" s="28" t="str">
        <x:v>Job data loader</x:v>
      </x:c>
      <x:c r="D2" s="28" t="str">
        <x:v>Read jobs/solutions JSON and render company/role pages from data.</x:v>
      </x:c>
      <x:c r="E2" s="28" t="str">
        <x:v>Not started</x:v>
      </x:c>
    </x:row>
    <x:row r="3">
      <x:c r="A3" s="28" t="str">
        <x:v>P0</x:v>
      </x:c>
      <x:c r="B3" s="28" t="str">
        <x:v>Core</x:v>
      </x:c>
      <x:c r="C3" s="28" t="str">
        <x:v>Solution page template</x:v>
      </x:c>
      <x:c r="D3" s="28" t="str">
        <x:v>Hero → public brief → 'Our Agent has outlined this' → solution architecture → real interaction → source/disclaimer.</x:v>
      </x:c>
      <x:c r="E3" s="28" t="str">
        <x:v>Not started</x:v>
      </x:c>
    </x:row>
    <x:row r="4">
      <x:c r="A4" s="28" t="str">
        <x:v>P0</x:v>
      </x:c>
      <x:c r="B4" s="28" t="str">
        <x:v>AI</x:v>
      </x:c>
      <x:c r="C4" s="28" t="str">
        <x:v>Solution Agent endpoint</x:v>
      </x:c>
      <x:c r="D4" s="28" t="str">
        <x:v>Grounded on that page's reviewed public brief + reviewed solution spec; no company claims beyond source.</x:v>
      </x:c>
      <x:c r="E4" s="28" t="str">
        <x:v>Not started</x:v>
      </x:c>
    </x:row>
    <x:row r="5">
      <x:c r="A5" s="28" t="str">
        <x:v>P0</x:v>
      </x:c>
      <x:c r="B5" s="28" t="str">
        <x:v>AI</x:v>
      </x:c>
      <x:c r="C5" s="28" t="str">
        <x:v>Analyse Work action</x:v>
      </x:c>
      <x:c r="D5" s="28" t="str">
        <x:v>Visitor submits a real task; returns opportunity, workflow, human judgement, risks, implementation steps and value measures.</x:v>
      </x:c>
      <x:c r="E5" s="28" t="str">
        <x:v>Not started</x:v>
      </x:c>
    </x:row>
    <x:row r="6">
      <x:c r="A6" s="28" t="str">
        <x:v>P0</x:v>
      </x:c>
      <x:c r="B6" s="28" t="str">
        <x:v>Safety</x:v>
      </x:c>
      <x:c r="C6" s="28" t="str">
        <x:v>No-fake-data guardrails</x:v>
      </x:c>
      <x:c r="D6" s="28" t="str">
        <x:v>Never invent company systems, policies, usage, metrics or integrations. Clearly label assumptions.</x:v>
      </x:c>
      <x:c r="E6" s="28" t="str">
        <x:v>Not started</x:v>
      </x:c>
    </x:row>
    <x:row r="7">
      <x:c r="A7" s="28" t="str">
        <x:v>P0</x:v>
      </x:c>
      <x:c r="B7" s="28" t="str">
        <x:v>Deploy</x:v>
      </x:c>
      <x:c r="C7" s="28" t="str">
        <x:v>Cloudflare deployment</x:v>
      </x:c>
      <x:c r="D7" s="28" t="str">
        <x:v>React/Vite frontend + Cloudflare Worker API + secrets server-side.</x:v>
      </x:c>
      <x:c r="E7" s="28" t="str">
        <x:v>Not started</x:v>
      </x:c>
    </x:row>
    <x:row r="8">
      <x:c r="A8" s="28" t="str">
        <x:v>P0</x:v>
      </x:c>
      <x:c r="B8" s="28" t="str">
        <x:v>QA</x:v>
      </x:c>
      <x:c r="C8" s="28" t="str">
        <x:v>Per-company factual QA</x:v>
      </x:c>
      <x:c r="D8" s="28" t="str">
        <x:v>Every page checked against source before publish; source URL visible.</x:v>
      </x:c>
      <x:c r="E8" s="28" t="str">
        <x:v>Not started</x:v>
      </x:c>
    </x:row>
    <x:row r="9">
      <x:c r="A9" s="28" t="str">
        <x:v>P1</x:v>
      </x:c>
      <x:c r="B9" s="28" t="str">
        <x:v>AI</x:v>
      </x:c>
      <x:c r="C9" s="28" t="str">
        <x:v>Workflow Architect action</x:v>
      </x:c>
      <x:c r="D9" s="28" t="str">
        <x:v>Convert a real process into a structured human+AI workflow with review points.</x:v>
      </x:c>
      <x:c r="E9" s="28" t="str">
        <x:v>Not started</x:v>
      </x:c>
    </x:row>
    <x:row r="10">
      <x:c r="A10" s="28" t="str">
        <x:v>P1</x:v>
      </x:c>
      <x:c r="B10" s="28" t="str">
        <x:v>AI</x:v>
      </x:c>
      <x:c r="C10" s="28" t="str">
        <x:v>Governance check action</x:v>
      </x:c>
      <x:c r="D10" s="28" t="str">
        <x:v>Risk questions and controls tailored to sector; clearly informational, not legal/compliance approval.</x:v>
      </x:c>
      <x:c r="E10" s="28" t="str">
        <x:v>Not started</x:v>
      </x:c>
    </x:row>
    <x:row r="11">
      <x:c r="A11" s="28" t="str">
        <x:v>P1</x:v>
      </x:c>
      <x:c r="B11" s="28" t="str">
        <x:v>AI</x:v>
      </x:c>
      <x:c r="C11" s="28" t="str">
        <x:v>90-day implementation plan</x:v>
      </x:c>
      <x:c r="D11" s="28" t="str">
        <x:v>Generate concrete implementation sequence for the advertised remit.</x:v>
      </x:c>
      <x:c r="E11" s="28" t="str">
        <x:v>Not started</x:v>
      </x:c>
    </x:row>
    <x:row r="12">
      <x:c r="A12" s="28" t="str">
        <x:v>P1</x:v>
      </x:c>
      <x:c r="B12" s="28" t="str">
        <x:v>AI</x:v>
      </x:c>
      <x:c r="C12" s="28" t="str">
        <x:v>Role learning plan</x:v>
      </x:c>
      <x:c r="D12" s="28" t="str">
        <x:v>Generate role-specific training/practice plan from the job brief.</x:v>
      </x:c>
      <x:c r="E12" s="28" t="str">
        <x:v>Not started</x:v>
      </x:c>
    </x:row>
    <x:row r="13">
      <x:c r="A13" s="28" t="str">
        <x:v>P1</x:v>
      </x:c>
      <x:c r="B13" s="28" t="str">
        <x:v>Site</x:v>
      </x:c>
      <x:c r="C13" s="28" t="str">
        <x:v>Search/filter job map</x:v>
      </x:c>
      <x:c r="D13" s="28" t="str">
        <x:v>Filter by sector, job family and company.</x:v>
      </x:c>
      <x:c r="E13" s="28" t="str">
        <x:v>Not started</x:v>
      </x:c>
    </x:row>
    <x:row r="14">
      <x:c r="A14" s="28" t="str">
        <x:v>P1</x:v>
      </x:c>
      <x:c r="B14" s="28" t="str">
        <x:v>Site</x:v>
      </x:c>
      <x:c r="C14" s="28" t="str">
        <x:v>Source freshness badge</x:v>
      </x:c>
      <x:c r="D14" s="28" t="str">
        <x:v>Verified date + 're-check before applying'.</x:v>
      </x:c>
      <x:c r="E14" s="28" t="str">
        <x:v>Not started</x:v>
      </x:c>
    </x:row>
    <x:row r="15">
      <x:c r="A15" s="28" t="str">
        <x:v>P1</x:v>
      </x:c>
      <x:c r="B15" s="28" t="str">
        <x:v>Analytics</x:v>
      </x:c>
      <x:c r="C15" s="28" t="str">
        <x:v>Privacy-light traffic analytics</x:v>
      </x:c>
      <x:c r="D15" s="28" t="str">
        <x:v>Page visits and interactions only; no fabricated ROI.</x:v>
      </x:c>
      <x:c r="E15" s="28" t="str">
        <x:v>Not started</x:v>
      </x:c>
    </x:row>
    <x:row r="16">
      <x:c r="A16" s="28" t="str">
        <x:v>P2</x:v>
      </x:c>
      <x:c r="B16" s="28" t="str">
        <x:v>Internal</x:v>
      </x:c>
      <x:c r="C16" s="28" t="str">
        <x:v>Job Scanner Agent</x:v>
      </x:c>
      <x:c r="D16" s="28" t="str">
        <x:v>Search new public AI adoption/enablement roles and draft structured briefs for review.</x:v>
      </x:c>
      <x:c r="E16" s="28" t="str">
        <x:v>Not started</x:v>
      </x:c>
    </x:row>
    <x:row r="17">
      <x:c r="A17" s="28" t="str">
        <x:v>P2</x:v>
      </x:c>
      <x:c r="B17" s="28" t="str">
        <x:v>Internal</x:v>
      </x:c>
      <x:c r="C17" s="28" t="str">
        <x:v>Solution Draft Agent</x:v>
      </x:c>
      <x:c r="D17" s="28" t="str">
        <x:v>Draft company-specific solution spec from public ad for human approval before publish.</x:v>
      </x:c>
      <x:c r="E17" s="28" t="str">
        <x:v>Not started</x:v>
      </x:c>
    </x:row>
    <x:row r="18">
      <x:c r="A18" s="28" t="str">
        <x:v>P2</x:v>
      </x:c>
      <x:c r="B18" s="28" t="str">
        <x:v>Future</x:v>
      </x:c>
      <x:c r="C18" s="28" t="str">
        <x:v>AI Workforce Registry</x:v>
      </x:c>
      <x:c r="D18" s="28" t="str">
        <x:v>Agent/digital-worker registry for roles where job brief explicitly points to agentic operating models.</x:v>
      </x:c>
      <x:c r="E18" s="28" t="str">
        <x:v>Not started</x:v>
      </x:c>
    </x:row>
  </x:sheetData>
  <x:dataValidations count="1">
    <x:dataValidation type="list" sqref="E2:E18">
      <x:formula1>"Not started,Building,Blocked,Done"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deba1476c34f5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5" hidden="0" customWidth="1"/>
    <x:col min="4" max="4" width="20" hidden="0" customWidth="1"/>
    <x:col min="5" max="5" width="58" hidden="0" customWidth="1"/>
    <x:col min="6" max="6" width="55" hidden="0" customWidth="1"/>
  </x:cols>
  <x:sheetData>
    <x:row r="1">
      <x:c r="A1" s="17" t="str">
        <x:v>Search term</x:v>
      </x:c>
      <x:c r="B1" s="17" t="str">
        <x:v>Location</x:v>
      </x:c>
      <x:c r="C1" s="17" t="str">
        <x:v>Source</x:v>
      </x:c>
      <x:c r="D1" s="17" t="str">
        <x:v>Result count at research time</x:v>
      </x:c>
      <x:c r="E1" s="17" t="str">
        <x:v>Interpretation</x:v>
      </x:c>
      <x:c r="F1" s="17" t="str">
        <x:v>URL</x:v>
      </x:c>
    </x:row>
    <x:row r="2">
      <x:c r="A2" s="28" t="str">
        <x:v>AI trainer</x:v>
      </x:c>
      <x:c r="B2" s="28" t="str">
        <x:v>Australia</x:v>
      </x:c>
      <x:c r="C2" s="28" t="str">
        <x:v>SEEK</x:v>
      </x:c>
      <x:c r="D2" s="28" t="str">
        <x:v>309</x:v>
      </x:c>
      <x:c r="E2" s="28" t="str">
        <x:v>Broad result count; includes irrelevant trainer roles.</x:v>
      </x:c>
      <x:c r="F2" s="28" t="str">
        <x:v>https://au.seek.com/ai-trainer-jobs/in-All-Australia</x:v>
      </x:c>
    </x:row>
    <x:row r="3">
      <x:c r="A3" s="28" t="str">
        <x:v>AI adoption</x:v>
      </x:c>
      <x:c r="B3" s="28" t="str">
        <x:v>Sydney NSW</x:v>
      </x:c>
      <x:c r="C3" s="28" t="str">
        <x:v>SEEK</x:v>
      </x:c>
      <x:c r="D3" s="28" t="str">
        <x:v>177</x:v>
      </x:c>
      <x:c r="E3" s="28" t="str">
        <x:v>Broad result count; not unique high-fit adoption roles.</x:v>
      </x:c>
      <x:c r="F3" s="28" t="str">
        <x:v>https://au.seek.com/AI-Adoption-jobs/in-All-Sydney-NSW</x:v>
      </x:c>
    </x:row>
    <x:row r="4">
      <x:c r="A4" s="28" t="str">
        <x:v>AI governance</x:v>
      </x:c>
      <x:c r="B4" s="28" t="str">
        <x:v>Australia</x:v>
      </x:c>
      <x:c r="C4" s="28" t="str">
        <x:v>SEEK</x:v>
      </x:c>
      <x:c r="D4" s="28" t="str">
        <x:v>506</x:v>
      </x:c>
      <x:c r="E4" s="28" t="str">
        <x:v>Broad result count; useful to surface governance/enabling roles.</x:v>
      </x:c>
      <x:c r="F4" s="28" t="str">
        <x:v>https://au.seek.com/ai-governance-jobs/in-All-Australia</x:v>
      </x:c>
    </x:row>
    <x:row r="5">
      <x:c r="A5" s="28" t="str">
        <x:v>Artificial intelligence governance</x:v>
      </x:c>
      <x:c r="B5" s="28" t="str">
        <x:v>Australia</x:v>
      </x:c>
      <x:c r="C5" s="28" t="str">
        <x:v>SEEK</x:v>
      </x:c>
      <x:c r="D5" s="28" t="str">
        <x:v>2,283</x:v>
      </x:c>
      <x:c r="E5" s="28" t="str">
        <x:v>Very broad/noisy count; use only for discovery.</x:v>
      </x:c>
      <x:c r="F5" s="28" t="str">
        <x:v>https://au.seek.com/artificial-intelligence-governance-jobs/in-All-Australia</x:v>
      </x:c>
    </x:row>
    <x:row r="6">
      <x:c r="A6" s="28" t="str">
        <x:v>AI adoption lead</x:v>
      </x:c>
      <x:c r="B6" s="28" t="str">
        <x:v>Australia</x:v>
      </x:c>
      <x:c r="C6" s="28" t="str">
        <x:v>Indeed</x:v>
      </x:c>
      <x:c r="D6" s="28" t="str">
        <x:v>57</x:v>
      </x:c>
      <x:c r="E6" s="28" t="str">
        <x:v>Current search-result count, still broader than our target role set.</x:v>
      </x:c>
      <x:c r="F6" s="28" t="str">
        <x:v>https://au.indeed.com/q-ai-adoption-lead-jobs.html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14" hidden="0" customWidth="1"/>
    <x:col min="4" max="4" width="20" hidden="0" customWidth="1"/>
    <x:col min="5" max="5" width="58" hidden="0" customWidth="1"/>
    <x:col min="6" max="6" width="62" hidden="0" customWidth="1"/>
  </x:cols>
  <x:sheetData>
    <x:row r="1">
      <x:c r="A1" s="17" t="str">
        <x:v>Company</x:v>
      </x:c>
      <x:c r="B1" s="17" t="str">
        <x:v>Role</x:v>
      </x:c>
      <x:c r="C1" s="17" t="str">
        <x:v>Verified on</x:v>
      </x:c>
      <x:c r="D1" s="17" t="str">
        <x:v>Source type</x:v>
      </x:c>
      <x:c r="E1" s="17" t="str">
        <x:v>URL</x:v>
      </x:c>
      <x:c r="F1" s="17" t="str">
        <x:v>Publishing note</x:v>
      </x:c>
    </x:row>
    <x:row r="2">
      <x:c r="A2" s="28" t="str">
        <x:v>ABC</x:v>
      </x:c>
      <x:c r="B2" s="28" t="str">
        <x:v>AI Adoption Specialist</x:v>
      </x:c>
      <x:c r="C2" s="28" t="str">
        <x:v>2026-08-25</x:v>
      </x:c>
      <x:c r="D2" s="28" t="str">
        <x:v>Direct employer</x:v>
      </x:c>
      <x:c r="E2" s="28" t="str">
        <x:v>https://careers.abc.net.au/jobs/ai-adoption-specialist-brisbane-qld-australia-melbourne-vic-longreach-sydney-nsw-adelaide-sa-port-pirie-port-lincoln-renmark-mount-gambier-victor-harbor-whyalla-canberra-act-broken-hill-bega-</x:v>
      </x:c>
      <x:c r="F2" s="28" t="str">
        <x:v>Public role used as research brief. No affiliation or endorsement implied. Re-check before applying.</x:v>
      </x:c>
    </x:row>
    <x:row r="3">
      <x:c r="A3" s="28" t="str">
        <x:v>The Arnott's Group</x:v>
      </x:c>
      <x:c r="B3" s="28" t="str">
        <x:v>AI Enablement and Adoption Lead</x:v>
      </x:c>
      <x:c r="C3" s="28" t="str">
        <x:v>2026-08-25</x:v>
      </x:c>
      <x:c r="D3" s="28" t="str">
        <x:v>Direct employer</x:v>
      </x:c>
      <x:c r="E3" s="28" t="str">
        <x:v>https://careers.arnotts.com/job/North-Strathfield-AI-Enablement-and-Adoption-Lead-NSW-2137/1365156066/</x:v>
      </x:c>
      <x:c r="F3" s="28" t="str">
        <x:v>Public role used as research brief. No affiliation or endorsement implied. Re-check before applying.</x:v>
      </x:c>
    </x:row>
    <x:row r="4">
      <x:c r="A4" s="28" t="str">
        <x:v>Findex</x:v>
      </x:c>
      <x:c r="B4" s="28" t="str">
        <x:v>AI &amp; Digital Tools Adoption Lead</x:v>
      </x:c>
      <x:c r="C4" s="28" t="str">
        <x:v>2026-08-25</x:v>
      </x:c>
      <x:c r="D4" s="28" t="str">
        <x:v>Public job listing</x:v>
      </x:c>
      <x:c r="E4" s="28" t="str">
        <x:v>https://builtin.com/job/ai-digital-tools-adoption-lead/10362562</x:v>
      </x:c>
      <x:c r="F4" s="28" t="str">
        <x:v>Public role used as research brief. No affiliation or endorsement implied. Re-check before applying.</x:v>
      </x:c>
    </x:row>
    <x:row r="5">
      <x:c r="A5" s="28" t="str">
        <x:v>SSI</x:v>
      </x:c>
      <x:c r="B5" s="28" t="str">
        <x:v>AI Enablement and Adoption Lead</x:v>
      </x:c>
      <x:c r="C5" s="28" t="str">
        <x:v>2026-08-25</x:v>
      </x:c>
      <x:c r="D5" s="28" t="str">
        <x:v>SEEK</x:v>
      </x:c>
      <x:c r="E5" s="28" t="str">
        <x:v>https://au.seek.com/enablement-jobs/in-All-Sydney-NSW</x:v>
      </x:c>
      <x:c r="F5" s="28" t="str">
        <x:v>Public role used as research brief. No affiliation or endorsement implied. Re-check before applying.</x:v>
      </x:c>
    </x:row>
    <x:row r="6">
      <x:c r="A6" s="28" t="str">
        <x:v>Georgiou Group</x:v>
      </x:c>
      <x:c r="B6" s="28" t="str">
        <x:v>AI Enablement Lead</x:v>
      </x:c>
      <x:c r="C6" s="28" t="str">
        <x:v>2026-08-25</x:v>
      </x:c>
      <x:c r="D6" s="28" t="str">
        <x:v>SEEK</x:v>
      </x:c>
      <x:c r="E6" s="28" t="str">
        <x:v>https://au.seek.com/enablement-jobs/in-All-Sydney-NSW</x:v>
      </x:c>
      <x:c r="F6" s="28" t="str">
        <x:v>Public role used as research brief. No affiliation or endorsement implied. Re-check before applying.</x:v>
      </x:c>
    </x:row>
    <x:row r="7">
      <x:c r="A7" s="28" t="str">
        <x:v>Novigi</x:v>
      </x:c>
      <x:c r="B7" s="28" t="str">
        <x:v>AI Adoption Coach</x:v>
      </x:c>
      <x:c r="C7" s="28" t="str">
        <x:v>2026-08-25</x:v>
      </x:c>
      <x:c r="D7" s="28" t="str">
        <x:v>SEEK</x:v>
      </x:c>
      <x:c r="E7" s="28" t="str">
        <x:v>https://au.seek.com/ai-trainer-jobs/in-All-Australia</x:v>
      </x:c>
      <x:c r="F7" s="28" t="str">
        <x:v>Public role used as research brief. No affiliation or endorsement implied. Re-check before applying.</x:v>
      </x:c>
    </x:row>
    <x:row r="8">
      <x:c r="A8" s="28" t="str">
        <x:v>Novigi</x:v>
      </x:c>
      <x:c r="B8" s="28" t="str">
        <x:v>AI Adoption Programme Co-ordinator</x:v>
      </x:c>
      <x:c r="C8" s="28" t="str">
        <x:v>2026-08-25</x:v>
      </x:c>
      <x:c r="D8" s="28" t="str">
        <x:v>SEEK</x:v>
      </x:c>
      <x:c r="E8" s="28" t="str">
        <x:v>https://au.seek.com/AI-Adoption-jobs/in-All-Sydney-NSW</x:v>
      </x:c>
      <x:c r="F8" s="28" t="str">
        <x:v>Public role used as research brief. No affiliation or endorsement implied. Re-check before applying.</x:v>
      </x:c>
    </x:row>
    <x:row r="9">
      <x:c r="A9" s="28" t="str">
        <x:v>Commonwealth Bank</x:v>
      </x:c>
      <x:c r="B9" s="28" t="str">
        <x:v>Chapter Lead - AI Enablement &amp; Execution</x:v>
      </x:c>
      <x:c r="C9" s="28" t="str">
        <x:v>2026-08-25</x:v>
      </x:c>
      <x:c r="D9" s="28" t="str">
        <x:v>Direct employer</x:v>
      </x:c>
      <x:c r="E9" s="28" t="str">
        <x:v>https://cba.wd3.myworkdayjobs.com/en-US/CommBank_Careers/job/Chapter-Lead---AI-Enablement---Execution_REQ261712</x:v>
      </x:c>
      <x:c r="F9" s="28" t="str">
        <x:v>Public role used as research brief. No affiliation or endorsement implied. Re-check before applying.</x:v>
      </x:c>
    </x:row>
    <x:row r="10">
      <x:c r="A10" s="28" t="str">
        <x:v>Insignia Financial</x:v>
      </x:c>
      <x:c r="B10" s="28" t="str">
        <x:v>Head of AI Adoption &amp; Transformation</x:v>
      </x:c>
      <x:c r="C10" s="28" t="str">
        <x:v>2026-08-25</x:v>
      </x:c>
      <x:c r="D10" s="28" t="str">
        <x:v>Direct employer</x:v>
      </x:c>
      <x:c r="E10" s="28" t="str">
        <x:v>https://careers.insigniafinancial.com.au/job/SYDNEY-Head-of-AI-Adoption-%26-Transformation-NSW-2000/1365289566/</x:v>
      </x:c>
      <x:c r="F10" s="28" t="str">
        <x:v>Public role used as research brief. No affiliation or endorsement implied. Re-check before applying.</x:v>
      </x:c>
    </x:row>
    <x:row r="11">
      <x:c r="A11" s="28" t="str">
        <x:v>Bellroy</x:v>
      </x:c>
      <x:c r="B11" s="28" t="str">
        <x:v>AI Enablement Lead</x:v>
      </x:c>
      <x:c r="C11" s="28" t="str">
        <x:v>2026-08-25</x:v>
      </x:c>
      <x:c r="D11" s="28" t="str">
        <x:v>Direct employer</x:v>
      </x:c>
      <x:c r="E11" s="28" t="str">
        <x:v>https://job-boards.greenhouse.io/bellroy/jobs/8104479</x:v>
      </x:c>
      <x:c r="F11" s="28" t="str">
        <x:v>Public role used as research brief. No affiliation or endorsement implied. Re-check before applying.</x:v>
      </x:c>
    </x:row>
    <x:row r="12">
      <x:c r="A12" s="28" t="str">
        <x:v>CBRE Asia Pacific</x:v>
      </x:c>
      <x:c r="B12" s="28" t="str">
        <x:v>AI Adoption Lead</x:v>
      </x:c>
      <x:c r="C12" s="28" t="str">
        <x:v>2026-08-25</x:v>
      </x:c>
      <x:c r="D12" s="28" t="str">
        <x:v>LinkedIn</x:v>
      </x:c>
      <x:c r="E12" s="28" t="str">
        <x:v>https://au.linkedin.com/jobs/view/ai-adoption-lead-at-cbre-asia-pacific-4452980768</x:v>
      </x:c>
      <x:c r="F12" s="28" t="str">
        <x:v>Public role used as research brief. No affiliation or endorsement implied. Re-check before applying.</x:v>
      </x:c>
    </x:row>
    <x:row r="13">
      <x:c r="A13" s="28" t="str">
        <x:v>Deloitte Australia</x:v>
      </x:c>
      <x:c r="B13" s="28" t="str">
        <x:v>AI Value &amp; Adoption Lead - Director</x:v>
      </x:c>
      <x:c r="C13" s="28" t="str">
        <x:v>2026-08-25</x:v>
      </x:c>
      <x:c r="D13" s="28" t="str">
        <x:v>Direct employer</x:v>
      </x:c>
      <x:c r="E13" s="28" t="str">
        <x:v>https://jobs.deloitte.com.au/job/Melbourne-AI-Value-%26-Adoption-Lead-Director-VIC/1366035966/</x:v>
      </x:c>
      <x:c r="F13" s="28" t="str">
        <x:v>Public role used as research brief. No affiliation or endorsement implied. Re-check before applying.</x:v>
      </x:c>
    </x:row>
    <x:row r="14">
      <x:c r="A14" s="28" t="str">
        <x:v>David Jones</x:v>
      </x:c>
      <x:c r="B14" s="28" t="str">
        <x:v>AI Capability &amp; Enablement Lead</x:v>
      </x:c>
      <x:c r="C14" s="28" t="str">
        <x:v>2026-08-25</x:v>
      </x:c>
      <x:c r="D14" s="28" t="str">
        <x:v>Indeed</x:v>
      </x:c>
      <x:c r="E14" s="28" t="str">
        <x:v>https://au.indeed.com/viewjob?jk=148ec76e4d12e141</x:v>
      </x:c>
      <x:c r="F14" s="28" t="str">
        <x:v>Public role used as research brief. No affiliation or endorsement implied. Re-check before applying.</x:v>
      </x:c>
    </x:row>
    <x:row r="15">
      <x:c r="A15" s="28" t="str">
        <x:v>Techtronic Industries</x:v>
      </x:c>
      <x:c r="B15" s="28" t="str">
        <x:v>AI Governance &amp; Enablement Lead ANZ</x:v>
      </x:c>
      <x:c r="C15" s="28" t="str">
        <x:v>2026-08-25</x:v>
      </x:c>
      <x:c r="D15" s="28" t="str">
        <x:v>SEEK</x:v>
      </x:c>
      <x:c r="E15" s="28" t="str">
        <x:v>https://au.seek.com/AI-governance-jobs/in-All-Melbourne-VIC</x:v>
      </x:c>
      <x:c r="F15" s="28" t="str">
        <x:v>Public role used as research brief. No affiliation or endorsement implied. Re-check before applying.</x:v>
      </x:c>
    </x:row>
    <x:row r="16">
      <x:c r="A16" s="28" t="str">
        <x:v>Insentra</x:v>
      </x:c>
      <x:c r="B16" s="28" t="str">
        <x:v>AI Adoption Lead</x:v>
      </x:c>
      <x:c r="C16" s="28" t="str">
        <x:v>2026-08-25</x:v>
      </x:c>
      <x:c r="D16" s="28" t="str">
        <x:v>Direct employer</x:v>
      </x:c>
      <x:c r="E16" s="28" t="str">
        <x:v>https://www.insentragroup.com/us/careers/open-opportunities/</x:v>
      </x:c>
      <x:c r="F16" s="28" t="str">
        <x:v>Public role used as research brief. No affiliation or endorsement implied. Re-check before applying.</x:v>
      </x:c>
    </x:row>
    <x:row r="17">
      <x:c r="A17" s="28" t="str">
        <x:v>Icon Group</x:v>
      </x:c>
      <x:c r="B17" s="28" t="str">
        <x:v>Project Trainer - National Heidi AI Adoption</x:v>
      </x:c>
      <x:c r="C17" s="28" t="str">
        <x:v>2026-08-25</x:v>
      </x:c>
      <x:c r="D17" s="28" t="str">
        <x:v>Direct employer</x:v>
      </x:c>
      <x:c r="E17" s="28" t="str">
        <x:v>https://icongroup.global/en/position/project-trainer-national-heidi-ai-adoption-fixed-term-project-role-1114830/</x:v>
      </x:c>
      <x:c r="F17" s="28" t="str">
        <x:v>Public role used as research brief. No affiliation or endorsement implied. Re-check before applying.</x:v>
      </x:c>
    </x:row>
    <x:row r="18">
      <x:c r="A18" s="28" t="str">
        <x:v>MinterEllison</x:v>
      </x:c>
      <x:c r="B18" s="28" t="str">
        <x:v>Senior Manager Optimisation &amp; AI Enablement</x:v>
      </x:c>
      <x:c r="C18" s="28" t="str">
        <x:v>2026-08-25</x:v>
      </x:c>
      <x:c r="D18" s="28" t="str">
        <x:v>SEEK</x:v>
      </x:c>
      <x:c r="E18" s="28" t="str">
        <x:v>https://au.seek.com/enablement-jobs/in-All-Sydney-NSW</x:v>
      </x:c>
      <x:c r="F18" s="28" t="str">
        <x:v>Public role used as research brief. No affiliation or endorsement implied. Re-check before applying.</x:v>
      </x:c>
    </x:row>
    <x:row r="19">
      <x:c r="A19" s="28" t="str">
        <x:v>Thomsons Lawyers</x:v>
      </x:c>
      <x:c r="B19" s="28" t="str">
        <x:v>Technology &amp; AI Trainer</x:v>
      </x:c>
      <x:c r="C19" s="28" t="str">
        <x:v>2026-08-25</x:v>
      </x:c>
      <x:c r="D19" s="28" t="str">
        <x:v>SEEK</x:v>
      </x:c>
      <x:c r="E19" s="28" t="str">
        <x:v>https://au.seek.com/ai-trainer-jobs/in-All-Australia</x:v>
      </x:c>
      <x:c r="F19" s="28" t="str">
        <x:v>Public role used as research brief. No affiliation or endorsement implied. Re-check before applying.</x:v>
      </x:c>
    </x:row>
    <x:row r="20">
      <x:c r="A20" s="28" t="str">
        <x:v>Team 400</x:v>
      </x:c>
      <x:c r="B20" s="28" t="str">
        <x:v>AI Trainer &amp; AI Agent Consultant</x:v>
      </x:c>
      <x:c r="C20" s="28" t="str">
        <x:v>2026-08-25</x:v>
      </x:c>
      <x:c r="D20" s="28" t="str">
        <x:v>SEEK</x:v>
      </x:c>
      <x:c r="E20" s="28" t="str">
        <x:v>https://au.seek.com/ai-trainer-jobs/in-All-Australia</x:v>
      </x:c>
      <x:c r="F20" s="28" t="str">
        <x:v>Public role used as research brief. No affiliation or endorsement implied. Re-check before applying.</x:v>
      </x:c>
    </x:row>
    <x:row r="21">
      <x:c r="A21" s="28" t="str">
        <x:v>Epiphany Training + Consulting</x:v>
      </x:c>
      <x:c r="B21" s="28" t="str">
        <x:v>AI Consultant</x:v>
      </x:c>
      <x:c r="C21" s="28" t="str">
        <x:v>2026-08-25</x:v>
      </x:c>
      <x:c r="D21" s="28" t="str">
        <x:v>SEEK</x:v>
      </x:c>
      <x:c r="E21" s="28" t="str">
        <x:v>https://au.seek.com/ai-trainer-jobs/in-All-Australia</x:v>
      </x:c>
      <x:c r="F21" s="28" t="str">
        <x:v>Public role used as research brief. No affiliation or endorsement implied. Re-check before applying.</x:v>
      </x:c>
    </x:row>
    <x:row r="22">
      <x:c r="A22" s="28" t="str">
        <x:v>Australian Retirement Trust</x:v>
      </x:c>
      <x:c r="B22" s="28" t="str">
        <x:v>Manager - AI Governance</x:v>
      </x:c>
      <x:c r="C22" s="28" t="str">
        <x:v>2026-08-25</x:v>
      </x:c>
      <x:c r="D22" s="28" t="str">
        <x:v>SEEK</x:v>
      </x:c>
      <x:c r="E22" s="28" t="str">
        <x:v>https://au.seek.com/ai-governance-jobs/in-All-Australia</x:v>
      </x:c>
      <x:c r="F22" s="28" t="str">
        <x:v>Public role used as research brief. No affiliation or endorsement implied. Re-check before applying.</x:v>
      </x:c>
    </x:row>
    <x:row r="23">
      <x:c r="A23" s="28" t="str">
        <x:v>Australian Retirement Trust</x:v>
      </x:c>
      <x:c r="B23" s="28" t="str">
        <x:v>AI Governance Specialist</x:v>
      </x:c>
      <x:c r="C23" s="28" t="str">
        <x:v>2026-08-25</x:v>
      </x:c>
      <x:c r="D23" s="28" t="str">
        <x:v>SEEK</x:v>
      </x:c>
      <x:c r="E23" s="28" t="str">
        <x:v>https://au.seek.com/ai-governance-jobs/in-All-Australia</x:v>
      </x:c>
      <x:c r="F23" s="28" t="str">
        <x:v>Public role used as research brief. No affiliation or endorsement implied. Re-check before applying.</x:v>
      </x:c>
    </x:row>
    <x:row r="24">
      <x:c r="A24" s="28" t="str">
        <x:v>Australian Financial Complaints Authority</x:v>
      </x:c>
      <x:c r="B24" s="28" t="str">
        <x:v>Manager, AI Governance</x:v>
      </x:c>
      <x:c r="C24" s="28" t="str">
        <x:v>2026-08-25</x:v>
      </x:c>
      <x:c r="D24" s="28" t="str">
        <x:v>SEEK</x:v>
      </x:c>
      <x:c r="E24" s="28" t="str">
        <x:v>https://au.seek.com/ai-governance-jobs</x:v>
      </x:c>
      <x:c r="F24" s="28" t="str">
        <x:v>Public role used as research brief. No affiliation or endorsement implied. Re-check before applying.</x:v>
      </x:c>
    </x:row>
    <x:row r="25">
      <x:c r="A25" s="28" t="str">
        <x:v>Great Southern Bank</x:v>
      </x:c>
      <x:c r="B25" s="28" t="str">
        <x:v>Data and AI Governance Specialist</x:v>
      </x:c>
      <x:c r="C25" s="28" t="str">
        <x:v>2026-08-25</x:v>
      </x:c>
      <x:c r="D25" s="28" t="str">
        <x:v>SEEK</x:v>
      </x:c>
      <x:c r="E25" s="28" t="str">
        <x:v>https://au.seek.com/artificial-intelligence-governance-jobs</x:v>
      </x:c>
      <x:c r="F25" s="28" t="str">
        <x:v>Public role used as research brief. No affiliation or endorsement implied. Re-check before applying.</x:v>
      </x:c>
    </x:row>
    <x:row r="26">
      <x:c r="A26" s="28" t="str">
        <x:v>NSW Department of Customer Service</x:v>
      </x:c>
      <x:c r="B26" s="28" t="str">
        <x:v>Manager, Data &amp; AI Governance</x:v>
      </x:c>
      <x:c r="C26" s="28" t="str">
        <x:v>2026-08-25</x:v>
      </x:c>
      <x:c r="D26" s="28" t="str">
        <x:v>SEEK</x:v>
      </x:c>
      <x:c r="E26" s="28" t="str">
        <x:v>https://au.seek.com/ai-governance-jobs/in-All-Australia</x:v>
      </x:c>
      <x:c r="F26" s="28" t="str">
        <x:v>Public role used as research brief. No affiliation or endorsement implied. Re-check before applying.</x:v>
      </x:c>
    </x:row>
    <x:row r="27">
      <x:c r="A27" s="28" t="str">
        <x:v>Central Land Council</x:v>
      </x:c>
      <x:c r="B27" s="28" t="str">
        <x:v>PM009 - AI Specialist</x:v>
      </x:c>
      <x:c r="C27" s="28" t="str">
        <x:v>2026-08-25</x:v>
      </x:c>
      <x:c r="D27" s="28" t="str">
        <x:v>SEEK</x:v>
      </x:c>
      <x:c r="E27" s="28" t="str">
        <x:v>https://au.seek.com/ai-governance-jobs/in-All-Australia</x:v>
      </x:c>
      <x:c r="F27" s="28" t="str">
        <x:v>Public role used as research brief. No affiliation or endorsement implied. Re-check before applying.</x:v>
      </x:c>
    </x:row>
    <x:row r="28">
      <x:c r="A28" s="28" t="str">
        <x:v>City of Stonnington</x:v>
      </x:c>
      <x:c r="B28" s="28" t="str">
        <x:v>AI Enablement Lead</x:v>
      </x:c>
      <x:c r="C28" s="28" t="str">
        <x:v>2026-08-25</x:v>
      </x:c>
      <x:c r="D28" s="28" t="str">
        <x:v>SEEK</x:v>
      </x:c>
      <x:c r="E28" s="28" t="str">
        <x:v>https://au.seek.com/artificial-intelligence-governance-jobs/in-All-Australia</x:v>
      </x:c>
      <x:c r="F28" s="28" t="str">
        <x:v>Public role used as research brief. No affiliation or endorsement implied. Re-check before applying.</x:v>
      </x:c>
    </x:row>
    <x:row r="29">
      <x:c r="A29" s="28" t="str">
        <x:v>Wesfarmers Chemicals, Energy &amp; Fertilisers</x:v>
      </x:c>
      <x:c r="B29" s="28" t="str">
        <x:v>Digital Enablement Specialist (AI Transformation)</x:v>
      </x:c>
      <x:c r="C29" s="28" t="str">
        <x:v>2026-08-25</x:v>
      </x:c>
      <x:c r="D29" s="28" t="str">
        <x:v>SEEK</x:v>
      </x:c>
      <x:c r="E29" s="28" t="str">
        <x:v>https://au.seek.com/ai-governance-jobs/in-All-Australia</x:v>
      </x:c>
      <x:c r="F29" s="28" t="str">
        <x:v>Public role used as research brief. No affiliation or endorsement implied. Re-check before applying.</x:v>
      </x:c>
    </x:row>
    <x:row r="30">
      <x:c r="A30" s="28" t="str">
        <x:v>Victorian Department of Energy, Environment and Climate Action</x:v>
      </x:c>
      <x:c r="B30" s="28" t="str">
        <x:v>AI &amp; Data Lead</x:v>
      </x:c>
      <x:c r="C30" s="28" t="str">
        <x:v>2026-08-25</x:v>
      </x:c>
      <x:c r="D30" s="28" t="str">
        <x:v>SEEK</x:v>
      </x:c>
      <x:c r="E30" s="28" t="str">
        <x:v>https://au.seek.com/artificial-intelligence-governance-jobs/in-All-Australia</x:v>
      </x:c>
      <x:c r="F30" s="28" t="str">
        <x:v>Public role used as research brief. No affiliation or endorsement implied. Re-check before applying.</x:v>
      </x:c>
    </x:row>
    <x:row r="31">
      <x:c r="A31" s="28" t="str">
        <x:v>Victorian Department of Energy, Environment and Climate Action</x:v>
      </x:c>
      <x:c r="B31" s="28" t="str">
        <x:v>Artificial Intelligence (AI) Technical Specialist</x:v>
      </x:c>
      <x:c r="C31" s="28" t="str">
        <x:v>2026-08-25</x:v>
      </x:c>
      <x:c r="D31" s="28" t="str">
        <x:v>SEEK</x:v>
      </x:c>
      <x:c r="E31" s="28" t="str">
        <x:v>https://au.seek.com/artificial-intelligence-governance-jobs/in-All-Australia</x:v>
      </x:c>
      <x:c r="F31" s="28" t="str">
        <x:v>Public role used as research brief. No affiliation or endorsement implied. Re-check before applying.</x:v>
      </x:c>
    </x:row>
    <x:row r="32">
      <x:c r="A32" s="28" t="str">
        <x:v>City of Whittlesea</x:v>
      </x:c>
      <x:c r="B32" s="28" t="str">
        <x:v>AI Solutions Officer</x:v>
      </x:c>
      <x:c r="C32" s="28" t="str">
        <x:v>2026-08-25</x:v>
      </x:c>
      <x:c r="D32" s="28" t="str">
        <x:v>SEEK</x:v>
      </x:c>
      <x:c r="E32" s="28" t="str">
        <x:v>https://au.seek.com/ai-policy-jobs/in-All-Melbourne-VIC</x:v>
      </x:c>
      <x:c r="F32" s="28" t="str">
        <x:v>Public role used as research brief. No affiliation or endorsement implied. Re-check before applying.</x:v>
      </x:c>
    </x:row>
    <x:row r="33">
      <x:c r="A33" s="28" t="str">
        <x:v>Australian Renewable Energy Agency (ARENA)</x:v>
      </x:c>
      <x:c r="B33" s="28" t="str">
        <x:v>Applications and AI Lead</x:v>
      </x:c>
      <x:c r="C33" s="28" t="str">
        <x:v>2026-08-25</x:v>
      </x:c>
      <x:c r="D33" s="28" t="str">
        <x:v>SEEK</x:v>
      </x:c>
      <x:c r="E33" s="28" t="str">
        <x:v>https://au.seek.com/Enterprise-Ai-jobs/in-All-Sydney-NSW</x:v>
      </x:c>
      <x:c r="F33" s="28" t="str">
        <x:v>Public role used as research brief. No affiliation or endorsement implied. Re-check before applying.</x:v>
      </x:c>
    </x:row>
    <x:row r="34">
      <x:c r="A34" s="28" t="str">
        <x:v>CBRE Advisory</x:v>
      </x:c>
      <x:c r="B34" s="28" t="str">
        <x:v>AI Analytics Lead</x:v>
      </x:c>
      <x:c r="C34" s="28" t="str">
        <x:v>2026-08-25</x:v>
      </x:c>
      <x:c r="D34" s="28" t="str">
        <x:v>SEEK</x:v>
      </x:c>
      <x:c r="E34" s="28" t="str">
        <x:v>https://au.seek.com/CBRE-jobs/in-Sydney-NSW-2000</x:v>
      </x:c>
      <x:c r="F34" s="28" t="str">
        <x:v>Public role used as research brief. No affiliation or endorsement implied. Re-check before applying.</x:v>
      </x:c>
    </x:row>
    <x:row r="35">
      <x:c r="A35" s="28" t="str">
        <x:v>RSM Australia</x:v>
      </x:c>
      <x:c r="B35" s="28" t="str">
        <x:v>Data Analytics &amp; AI Manager</x:v>
      </x:c>
      <x:c r="C35" s="28" t="str">
        <x:v>2026-08-25</x:v>
      </x:c>
      <x:c r="D35" s="28" t="str">
        <x:v>SEEK</x:v>
      </x:c>
      <x:c r="E35" s="28" t="str">
        <x:v>https://au.seek.com/Data-%26-AI-Governance-jobs/in-All-Sydney-NSW</x:v>
      </x:c>
      <x:c r="F35" s="28" t="str">
        <x:v>Public role used as research brief. No affiliation or endorsement implied. Re-check before applying.</x:v>
      </x:c>
    </x:row>
    <x:row r="36">
      <x:c r="A36" s="28" t="str">
        <x:v>Hays client (unnamed)</x:v>
      </x:c>
      <x:c r="B36" s="28" t="str">
        <x:v>Technology &amp; AI Trainer</x:v>
      </x:c>
      <x:c r="C36" s="28" t="str">
        <x:v>2026-08-25</x:v>
      </x:c>
      <x:c r="D36" s="28" t="str">
        <x:v>SEEK</x:v>
      </x:c>
      <x:c r="E36" s="28" t="str">
        <x:v>https://au.seek.com/ai-trainer-jobs/in-All-Australia</x:v>
      </x:c>
      <x:c r="F36" s="28" t="str">
        <x:v>Public role used as research brief. No affiliation or endorsement implied. Re-check before applying.</x:v>
      </x:c>
    </x:row>
    <x:row r="37">
      <x:c r="A37" s="28" t="str">
        <x:v>Private ASX 150 organisation</x:v>
      </x:c>
      <x:c r="B37" s="28" t="str">
        <x:v>AI Academy Lead | AI Training, Adoption &amp; Enablement</x:v>
      </x:c>
      <x:c r="C37" s="28" t="str">
        <x:v>2026-08-25</x:v>
      </x:c>
      <x:c r="D37" s="28" t="str">
        <x:v>SEEK</x:v>
      </x:c>
      <x:c r="E37" s="28" t="str">
        <x:v>https://au.seek.com/ai-trainer-jobs/in-All-Australia</x:v>
      </x:c>
      <x:c r="F37" s="28" t="str">
        <x:v>Public role used as research brief. No affiliation or endorsement implied. Re-check before applying.</x:v>
      </x:c>
    </x:row>
    <x:row r="38">
      <x:c r="A38" s="28" t="str">
        <x:v>empire group client (national law firm)</x:v>
      </x:c>
      <x:c r="B38" s="28" t="str">
        <x:v>Legal AI Lead</x:v>
      </x:c>
      <x:c r="C38" s="28" t="str">
        <x:v>2026-08-25</x:v>
      </x:c>
      <x:c r="D38" s="28" t="str">
        <x:v>SEEK / recruiter</x:v>
      </x:c>
      <x:c r="E38" s="28" t="str">
        <x:v>https://au.seek.com/legal-ai-jobs</x:v>
      </x:c>
      <x:c r="F38" s="28" t="str">
        <x:v>Public role used as research brief. No affiliation or endorsement implied. Re-check before applying.</x:v>
      </x:c>
    </x:row>
    <x:row r="39">
      <x:c r="A39" s="28" t="str">
        <x:v>empire group client (national law firm)</x:v>
      </x:c>
      <x:c r="B39" s="28" t="str">
        <x:v>Legal AI Engineer</x:v>
      </x:c>
      <x:c r="C39" s="28" t="str">
        <x:v>2026-08-25</x:v>
      </x:c>
      <x:c r="D39" s="28" t="str">
        <x:v>SEEK / recruiter</x:v>
      </x:c>
      <x:c r="E39" s="28" t="str">
        <x:v>https://au.seek.com/legal-ai-jobs</x:v>
      </x:c>
      <x:c r="F39" s="28" t="str">
        <x:v>Public role used as research brief. No affiliation or endorsement implied. Re-check before applying.</x:v>
      </x:c>
    </x:row>
    <x:row r="40">
      <x:c r="A40" s="28" t="str">
        <x:v>empire group client (leading law firm)</x:v>
      </x:c>
      <x:c r="B40" s="28" t="str">
        <x:v>Technology Trainer x2</x:v>
      </x:c>
      <x:c r="C40" s="28" t="str">
        <x:v>2026-08-25</x:v>
      </x:c>
      <x:c r="D40" s="28" t="str">
        <x:v>SEEK / recruiter</x:v>
      </x:c>
      <x:c r="E40" s="28" t="str">
        <x:v>https://au.seek.com/trainee-ai-trainer-jobs/in-Sydney-NSW-2000</x:v>
      </x:c>
      <x:c r="F40" s="28" t="str">
        <x:v>Public role used as research brief. No affiliation or endorsement implied. Re-check before applying.</x:v>
      </x:c>
    </x:row>
    <x:row r="41">
      <x:c r="A41" s="28" t="str">
        <x:v>Private commercial law firm</x:v>
      </x:c>
      <x:c r="B41" s="28" t="str">
        <x:v>Legal AI Lead</x:v>
      </x:c>
      <x:c r="C41" s="28" t="str">
        <x:v>2026-08-25</x:v>
      </x:c>
      <x:c r="D41" s="28" t="str">
        <x:v>SEEK</x:v>
      </x:c>
      <x:c r="E41" s="28" t="str">
        <x:v>https://au.seek.com/ai-prompt-jobs/in-All-Australia</x:v>
      </x:c>
      <x:c r="F41" s="28" t="str">
        <x:v>Public role used as research brief. No affiliation or endorsement implied. Re-check before applying.</x:v>
      </x:c>
    </x:row>
    <x:row r="42">
      <x:c r="A42" s="28" t="str">
        <x:v>Talent client (government agency)</x:v>
      </x:c>
      <x:c r="B42" s="28" t="str">
        <x:v>AI Enablement Lead</x:v>
      </x:c>
      <x:c r="C42" s="28" t="str">
        <x:v>2026-08-25</x:v>
      </x:c>
      <x:c r="D42" s="28" t="str">
        <x:v>SEEK / recruiter</x:v>
      </x:c>
      <x:c r="E42" s="28" t="str">
        <x:v>https://au.seek.com/AI-governance-jobs/in-All-Melbourne-VIC</x:v>
      </x:c>
      <x:c r="F42" s="28" t="str">
        <x:v>Public role used as research brief. No affiliation or endorsement implied. Re-check before applying.</x:v>
      </x:c>
    </x:row>
    <x:row r="43">
      <x:c r="A43" s="28" t="str">
        <x:v>Talent client</x:v>
      </x:c>
      <x:c r="B43" s="28" t="str">
        <x:v>AI Enablement Engineer</x:v>
      </x:c>
      <x:c r="C43" s="28" t="str">
        <x:v>2026-08-25</x:v>
      </x:c>
      <x:c r="D43" s="28" t="str">
        <x:v>SEEK / recruiter</x:v>
      </x:c>
      <x:c r="E43" s="28" t="str">
        <x:v>https://au.seek.com/enablement-jobs/in-All-Sydney-NSW</x:v>
      </x:c>
      <x:c r="F43" s="28" t="str">
        <x:v>Public role used as research brief. No affiliation or endorsement implied. Re-check before applying.</x:v>
      </x:c>
    </x:row>
  </x:sheetData>
  <x:pageMargins left="0.7" right="0.7" top="0.75" bottom="0.75" header="0.3" footer="0.3"/>
  <x:tableParts count="1">
    <x:tablePart xmlns:r="http://schemas.openxmlformats.org/officeDocument/2006/relationships" r:id="R51913a1e286a4c1c"/>
  </x:tableParts>
</x:worksheet>
</file>